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guel.chacon\Downloads\"/>
    </mc:Choice>
  </mc:AlternateContent>
  <xr:revisionPtr revIDLastSave="0" documentId="13_ncr:1_{2BB93B9F-20C4-4A57-8EB0-F812DF033E8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Indicadores de Proceso" sheetId="1" r:id="rId1"/>
  </sheets>
  <definedNames>
    <definedName name="_xlnm._FilterDatabase" localSheetId="0" hidden="1">'Indicadores de Proceso'!$A$1:$T$33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" i="1" l="1"/>
  <c r="Q36" i="1" s="1"/>
  <c r="J36" i="1"/>
  <c r="P36" i="1" s="1"/>
  <c r="O35" i="1"/>
  <c r="Q35" i="1" s="1"/>
  <c r="J35" i="1"/>
  <c r="R35" i="1" s="1"/>
  <c r="Q34" i="1"/>
  <c r="O34" i="1"/>
  <c r="J34" i="1"/>
  <c r="R34" i="1" s="1"/>
  <c r="P33" i="1"/>
  <c r="O33" i="1"/>
  <c r="Q33" i="1" s="1"/>
  <c r="J33" i="1"/>
  <c r="R33" i="1" s="1"/>
  <c r="O32" i="1"/>
  <c r="Q32" i="1" s="1"/>
  <c r="J32" i="1"/>
  <c r="P32" i="1" s="1"/>
  <c r="O30" i="1"/>
  <c r="Q30" i="1" s="1"/>
  <c r="J30" i="1"/>
  <c r="R30" i="1" s="1"/>
  <c r="Q29" i="1"/>
  <c r="O29" i="1"/>
  <c r="J29" i="1"/>
  <c r="R29" i="1" s="1"/>
  <c r="P27" i="1"/>
  <c r="O27" i="1"/>
  <c r="Q27" i="1" s="1"/>
  <c r="J27" i="1"/>
  <c r="R27" i="1" s="1"/>
  <c r="O26" i="1"/>
  <c r="Q26" i="1" s="1"/>
  <c r="J26" i="1"/>
  <c r="P26" i="1" s="1"/>
  <c r="O25" i="1"/>
  <c r="Q25" i="1" s="1"/>
  <c r="J25" i="1"/>
  <c r="P25" i="1" s="1"/>
  <c r="Q23" i="1"/>
  <c r="O23" i="1"/>
  <c r="J23" i="1"/>
  <c r="R23" i="1" s="1"/>
  <c r="P22" i="1"/>
  <c r="O22" i="1"/>
  <c r="Q22" i="1" s="1"/>
  <c r="J22" i="1"/>
  <c r="R22" i="1" s="1"/>
  <c r="O21" i="1"/>
  <c r="Q21" i="1" s="1"/>
  <c r="J21" i="1"/>
  <c r="P21" i="1" s="1"/>
  <c r="O20" i="1"/>
  <c r="Q20" i="1" s="1"/>
  <c r="J20" i="1"/>
  <c r="R20" i="1" s="1"/>
  <c r="Q19" i="1"/>
  <c r="O19" i="1"/>
  <c r="J19" i="1"/>
  <c r="R19" i="1" s="1"/>
  <c r="P18" i="1"/>
  <c r="O18" i="1"/>
  <c r="Q18" i="1" s="1"/>
  <c r="J18" i="1"/>
  <c r="R18" i="1" s="1"/>
  <c r="O17" i="1"/>
  <c r="Q17" i="1" s="1"/>
  <c r="J17" i="1"/>
  <c r="P17" i="1" s="1"/>
  <c r="O16" i="1"/>
  <c r="Q16" i="1" s="1"/>
  <c r="J16" i="1"/>
  <c r="P16" i="1" s="1"/>
  <c r="Q15" i="1"/>
  <c r="O15" i="1"/>
  <c r="J15" i="1"/>
  <c r="R15" i="1" s="1"/>
  <c r="P14" i="1"/>
  <c r="O14" i="1"/>
  <c r="Q14" i="1" s="1"/>
  <c r="J14" i="1"/>
  <c r="R14" i="1" s="1"/>
  <c r="O13" i="1"/>
  <c r="Q13" i="1" s="1"/>
  <c r="J13" i="1"/>
  <c r="P13" i="1" s="1"/>
  <c r="O12" i="1"/>
  <c r="Q12" i="1" s="1"/>
  <c r="J12" i="1"/>
  <c r="P12" i="1" s="1"/>
  <c r="Q11" i="1"/>
  <c r="O11" i="1"/>
  <c r="J11" i="1"/>
  <c r="R11" i="1" s="1"/>
  <c r="P10" i="1"/>
  <c r="O10" i="1"/>
  <c r="Q10" i="1" s="1"/>
  <c r="J10" i="1"/>
  <c r="R10" i="1" s="1"/>
  <c r="O9" i="1"/>
  <c r="Q9" i="1" s="1"/>
  <c r="J9" i="1"/>
  <c r="P9" i="1" s="1"/>
  <c r="Q8" i="1"/>
  <c r="O8" i="1"/>
  <c r="J8" i="1"/>
  <c r="R8" i="1" s="1"/>
  <c r="Q7" i="1"/>
  <c r="P7" i="1"/>
  <c r="O7" i="1"/>
  <c r="J7" i="1"/>
  <c r="R7" i="1" s="1"/>
  <c r="O6" i="1"/>
  <c r="J6" i="1"/>
  <c r="P6" i="1" s="1"/>
  <c r="Q5" i="1"/>
  <c r="O5" i="1"/>
  <c r="J5" i="1"/>
  <c r="P5" i="1" s="1"/>
  <c r="T15" i="1" l="1"/>
  <c r="S15" i="1"/>
  <c r="T23" i="1"/>
  <c r="S23" i="1"/>
  <c r="T34" i="1"/>
  <c r="S34" i="1"/>
  <c r="T14" i="1"/>
  <c r="S14" i="1"/>
  <c r="S20" i="1"/>
  <c r="T20" i="1"/>
  <c r="S22" i="1"/>
  <c r="T22" i="1"/>
  <c r="S30" i="1"/>
  <c r="T30" i="1"/>
  <c r="T33" i="1"/>
  <c r="S33" i="1"/>
  <c r="S7" i="1"/>
  <c r="T7" i="1"/>
  <c r="S8" i="1"/>
  <c r="T8" i="1"/>
  <c r="T11" i="1"/>
  <c r="S11" i="1"/>
  <c r="T19" i="1"/>
  <c r="S19" i="1"/>
  <c r="T29" i="1"/>
  <c r="S29" i="1"/>
  <c r="T10" i="1"/>
  <c r="S10" i="1"/>
  <c r="S18" i="1"/>
  <c r="T18" i="1"/>
  <c r="S27" i="1"/>
  <c r="T27" i="1"/>
  <c r="S35" i="1"/>
  <c r="T35" i="1"/>
  <c r="R5" i="1"/>
  <c r="R12" i="1"/>
  <c r="R16" i="1"/>
  <c r="R25" i="1"/>
  <c r="R6" i="1"/>
  <c r="P8" i="1"/>
  <c r="P20" i="1"/>
  <c r="P30" i="1"/>
  <c r="P35" i="1"/>
  <c r="R9" i="1"/>
  <c r="P11" i="1"/>
  <c r="R13" i="1"/>
  <c r="P15" i="1"/>
  <c r="R17" i="1"/>
  <c r="P19" i="1"/>
  <c r="R21" i="1"/>
  <c r="P23" i="1"/>
  <c r="R26" i="1"/>
  <c r="P29" i="1"/>
  <c r="R32" i="1"/>
  <c r="P34" i="1"/>
  <c r="R36" i="1"/>
  <c r="S5" i="1" l="1"/>
  <c r="T5" i="1"/>
  <c r="T21" i="1"/>
  <c r="S21" i="1"/>
  <c r="T13" i="1"/>
  <c r="S13" i="1"/>
  <c r="S25" i="1"/>
  <c r="T25" i="1"/>
  <c r="S16" i="1"/>
  <c r="T16" i="1"/>
  <c r="T36" i="1"/>
  <c r="S36" i="1"/>
  <c r="T26" i="1"/>
  <c r="S26" i="1"/>
  <c r="T17" i="1"/>
  <c r="S17" i="1"/>
  <c r="T9" i="1"/>
  <c r="S9" i="1"/>
  <c r="S12" i="1"/>
  <c r="T12" i="1"/>
  <c r="T6" i="1"/>
  <c r="S6" i="1"/>
  <c r="T32" i="1"/>
  <c r="S32" i="1"/>
</calcChain>
</file>

<file path=xl/sharedStrings.xml><?xml version="1.0" encoding="utf-8"?>
<sst xmlns="http://schemas.openxmlformats.org/spreadsheetml/2006/main" count="242" uniqueCount="174">
  <si>
    <t>CENTRO DE GOBIERNO DE BOLIVIA – MATRIZ DE INDICADORES DE PROCESO (Dimensión A + B) | Metodología BID</t>
  </si>
  <si>
    <t>Seguimiento de Procesos | 7 Ejes | 29 Intervenciones | Etapa Inicial | Dimensión A: Avance de Etapas (50%) | Dimensión B: Calidad de Ejecución (50%)</t>
  </si>
  <si>
    <t>IDENTIFICACIÓN</t>
  </si>
  <si>
    <t>DIMENSIÓN A – AVANCE DE ETAPAS (IAE) | Peso 50%</t>
  </si>
  <si>
    <t>DIMENSIÓN B – CALIDAD DE EJECUCIÓN (ICE) | Peso 50%</t>
  </si>
  <si>
    <t>ÍNDICE GLOBAL DE PROCESO (IGP)</t>
  </si>
  <si>
    <t>SEMÁFORO Y ACCIÓN</t>
  </si>
  <si>
    <t>Eje</t>
  </si>
  <si>
    <t>ID</t>
  </si>
  <si>
    <t>Intervención</t>
  </si>
  <si>
    <t>Ministerio(s)</t>
  </si>
  <si>
    <t>Nombre del Indicador
de Proceso</t>
  </si>
  <si>
    <t>Fórmula IAE</t>
  </si>
  <si>
    <t>N° Etapas
Totales</t>
  </si>
  <si>
    <t>Etapas del Ciclo
(descripción)</t>
  </si>
  <si>
    <t>N° Etapas
Ejecutadas
✏ EDITABLE</t>
  </si>
  <si>
    <t>IAE (%)
[=I/G]</t>
  </si>
  <si>
    <t>B1 Pertinencia
Técnica (0-3)
✏ EDITABLE</t>
  </si>
  <si>
    <t>B2 Participación
e Inclusión (0-3)
✏ EDITABLE</t>
  </si>
  <si>
    <t>B3 Coherencia
Institucional (0-3)
✏ EDITABLE</t>
  </si>
  <si>
    <t>B4 Oportunidad
y Plazos (0-3)
✏ EDITABLE</t>
  </si>
  <si>
    <t>ICE (%)
[=(K+L+M+N)/12]</t>
  </si>
  <si>
    <t>Semáforo IAE</t>
  </si>
  <si>
    <t>Semáforo ICE</t>
  </si>
  <si>
    <t>IGP (%)
[=IAE×50%+ICE×50%]</t>
  </si>
  <si>
    <t>Semáforo IGP</t>
  </si>
  <si>
    <t>Acción Requerida</t>
  </si>
  <si>
    <t>Eje 1 – Economía para la Gente</t>
  </si>
  <si>
    <t>i.1</t>
  </si>
  <si>
    <t>Ley de Hidrocarburos</t>
  </si>
  <si>
    <t>Ministerio de Hidrocarburos y Energías</t>
  </si>
  <si>
    <t>Índice de Avance del Proceso Legislativo de la Ley de Hidrocarburos</t>
  </si>
  <si>
    <t>(Etapas ejecutadas / 6) × 100</t>
  </si>
  <si>
    <t>1. Diagnóstico normativo
2. Elaboración anteproyecto
3. Consulta intersectorial
4. Aprobación Asamblea
5. Promulgación
6. Reglamentación</t>
  </si>
  <si>
    <t>i.2</t>
  </si>
  <si>
    <t>Reforma Ley General del Trabajo</t>
  </si>
  <si>
    <t>Índice de Avance del Proceso de Reforma Laboral</t>
  </si>
  <si>
    <t>1. Diagnóstico laboral
2. Consulta tripartita
3. Elaboración proyecto
4. Aprobación Asamblea
5. Promulgación
6. Reglamentación</t>
  </si>
  <si>
    <t>i.3</t>
  </si>
  <si>
    <t>Reformas e incentivos tributarios</t>
  </si>
  <si>
    <t>Índice de Avance de la Reforma Tributaria</t>
  </si>
  <si>
    <t>1. Diagnóstico fiscal
2. Diseño de incentivos
3. Consulta sectorial
4. Aprobación normativa
5. Publicación
6. Implementación SIN</t>
  </si>
  <si>
    <t>i.4</t>
  </si>
  <si>
    <t>Fuentes de financiamiento turismo-cultura-gastronomía</t>
  </si>
  <si>
    <t>Índice de Avance de Instrumentos de Financiamiento Sectorial</t>
  </si>
  <si>
    <t>1. Mapeo de fuentes
2. Diseño de instrumentos
3. Negociación BFD/BDP
4. Aprobación resoluciones
5. Lanzamiento público
6. Desembolsos iniciales</t>
  </si>
  <si>
    <t>i.5</t>
  </si>
  <si>
    <t>Autorizaciones transitorias Ley Minera (CAM)</t>
  </si>
  <si>
    <t>Ministerio de Minería y Metalurgia</t>
  </si>
  <si>
    <t>Índice de Avance del Proceso de Autorización Transitoria Minera</t>
  </si>
  <si>
    <t>1. Diagnóstico CAM pendientes
2. Diseño del procedimiento transitorio
3. Validación jurídica
4. Aprobación resolución
5. Implementación AJAM
6. Evaluación resultados</t>
  </si>
  <si>
    <t>Eje 2 – Bolivia al Mundo</t>
  </si>
  <si>
    <t>i.6</t>
  </si>
  <si>
    <t>HUB Viru Viru – Cielos abiertos</t>
  </si>
  <si>
    <t>Ministerio de Obras Públicas</t>
  </si>
  <si>
    <t>Índice de Avance del Proceso de Habilitación del HUB Viru Viru</t>
  </si>
  <si>
    <t>1. Diagnóstico infraestructura
2. Negociación acuerdos aeronáuticos
3. Diseño plan HUB
4. Aprobación regulatoria DGAC
5. Firma convenios aerolíneas
6. Puesta en operación</t>
  </si>
  <si>
    <t>i.7</t>
  </si>
  <si>
    <t>Agua potable y saneamiento para todos</t>
  </si>
  <si>
    <t>Ministerio de Desarrollo Productivo Rural y Agua</t>
  </si>
  <si>
    <t>Índice de Avance del Proceso de Ampliación de Cobertura de Agua y Saneamiento</t>
  </si>
  <si>
    <t>1. Diagnóstico cobertura
2. Priorización territorial
3. Diseño proyectos
4. Financiamiento asegurado
5. Ejecución obras
6. Puesta en servicio</t>
  </si>
  <si>
    <t>i.8</t>
  </si>
  <si>
    <t>Ministerio de Turismo Sostenible</t>
  </si>
  <si>
    <t>Índice de Avance del Proceso de Desarrollo de Marca País</t>
  </si>
  <si>
    <t>1. Diagnóstico posicionamiento
2. Diseño de marca
3. Validación identidad
4. Lanzamiento internacional
5. Campaña digital
6. Evaluación impacto</t>
  </si>
  <si>
    <t>i.9</t>
  </si>
  <si>
    <t>Agencia de Promoción de Exportaciones e Inversiones</t>
  </si>
  <si>
    <t>Ministerio de Relaciones Exteriores</t>
  </si>
  <si>
    <t>Índice de Avance del Proceso de Creación de la Agencia de Promoción</t>
  </si>
  <si>
    <t>1. Diseño institucional
2. Aprobación decreto creación
3. Dotación presupuestaria
4. Designación directivos
5. Operación plena
6. Primera misión comercial</t>
  </si>
  <si>
    <t>i.10</t>
  </si>
  <si>
    <t>Posicionamiento minero PDAC 2026 – RIGI</t>
  </si>
  <si>
    <t>Índice de Avance del Proceso de Posicionamiento Minero Internacional</t>
  </si>
  <si>
    <t>1. Diagnóstico oferta minera
2. Diseño del RIGI Bolivia
3. Preparación delegación PDAC
4. Participación PDAC 2026
5. Seguimiento contactos
6. Compromisos formalizados</t>
  </si>
  <si>
    <t>Eje 3 – Bolivia 50/50</t>
  </si>
  <si>
    <t>i.11</t>
  </si>
  <si>
    <t>Nueva Ley de Autonomías</t>
  </si>
  <si>
    <t>Ministerio de la Presidencia</t>
  </si>
  <si>
    <t>Índice de Avance del Proceso Legislativo de la Ley de Autonomías</t>
  </si>
  <si>
    <t>1. Diagnóstico normativo
2. Consulta gobiernos subnacionales
3. Elaboración proyecto
4. Negociación política
5. Aprobación Asamblea
6. Promulgación</t>
  </si>
  <si>
    <t>i.12</t>
  </si>
  <si>
    <t>Nuevo Sistema Nacional de Salud</t>
  </si>
  <si>
    <t>Ministerio de Salud y Deportes</t>
  </si>
  <si>
    <t>Índice de Avance del Proceso de Reforma del Sistema de Salud</t>
  </si>
  <si>
    <t>1. Diagnóstico del sistema
2. Diseño del nuevo modelo
3. Consulta sectorial
4. Aprobación normativa
5. Implementación piloto
6. Escalonamiento nacional</t>
  </si>
  <si>
    <t>i.13</t>
  </si>
  <si>
    <t>Reordenamiento Sistema Educativo</t>
  </si>
  <si>
    <t>Ministerio de Educación</t>
  </si>
  <si>
    <t>Índice de Avance del Proceso de Reordenamiento Educativo</t>
  </si>
  <si>
    <t>1. Diagnóstico curricular
2. Diseño del nuevo modelo
3. Consulta magisterio
4. Aprobación resoluciones
5. Implementación piloto
6. Implementación nacional</t>
  </si>
  <si>
    <t>i.14</t>
  </si>
  <si>
    <t>Participación laboral de mujeres (cuidados)</t>
  </si>
  <si>
    <t>Ministerio de Trabajo</t>
  </si>
  <si>
    <t>Índice de Avance del Proceso de Política de Cuidados y Empleo Femenino</t>
  </si>
  <si>
    <t>1. Diagnóstico brechas
2. Diseño política de cuidados
3. Consulta organizaciones mujeres
4. Aprobación norma
5. Implementación programas
6. Evaluación de impacto</t>
  </si>
  <si>
    <t>i.15</t>
  </si>
  <si>
    <t>Nueva Ley de Seguridad Ciudadana</t>
  </si>
  <si>
    <t>Ministerio de Gobierno</t>
  </si>
  <si>
    <t>Índice de Avance del Proceso Legislativo de Seguridad Ciudadana</t>
  </si>
  <si>
    <t>1. Diagnóstico inseguridad
2. Elaboración proyecto de ley
3. Consulta Policía/FFAA
4. Aprobación Asamblea
5. Promulgación
6. Implementación operativa</t>
  </si>
  <si>
    <t>Eje 4-5 – Modernización y Transparencia</t>
  </si>
  <si>
    <t>i.16</t>
  </si>
  <si>
    <t>Desregulación y desburocratización</t>
  </si>
  <si>
    <t>Índice de Avance del Proceso de Desregulación del Estado</t>
  </si>
  <si>
    <t>1. Inventario normativo
2. Análisis de impacto regulatorio
3. Propuesta de eliminación/simplificación
4. Aprobación resolución
5. Implementación ventanillas
6. Medición satisfacción</t>
  </si>
  <si>
    <t>i.17</t>
  </si>
  <si>
    <t>Integración ciudadanía digital</t>
  </si>
  <si>
    <t>Índice de Avance del Proceso de Integración Digital Ciudadana</t>
  </si>
  <si>
    <t>1. Diagnóstico brecha digital
2. Diseño plataforma
3. Desarrollo tecnológico
4. Pruebas piloto
5. Lanzamiento nacional
6. Adopción ciudadana</t>
  </si>
  <si>
    <t>i.18</t>
  </si>
  <si>
    <t>Modernización del SPIE</t>
  </si>
  <si>
    <t>Ministerio de Planificación del Desarrollo</t>
  </si>
  <si>
    <t>Índice de Avance del Proceso de Modernización del SPIE</t>
  </si>
  <si>
    <t>1. Diagnóstico SPIE
2. Diseño nueva arquitectura
3. Desarrollo plataforma
4. Migración datos
5. Capacitación usuarios
6. Operación plena</t>
  </si>
  <si>
    <t>i.19</t>
  </si>
  <si>
    <t>Índice de Avance del Proceso de Reforma de la Ley 1178</t>
  </si>
  <si>
    <t>1. Diagnóstico Ley 1178
2. Elaboración modificaciones
3. Consulta CGE/órganos control
4. Aprobación normativa
5. Capacitación servidores
6. Implementación SIGEP</t>
  </si>
  <si>
    <t>i.20</t>
  </si>
  <si>
    <t>Norma organización Órgano Ejecutivo</t>
  </si>
  <si>
    <t>Índice de Avance del Proceso de Reorganización del Órgano Ejecutivo</t>
  </si>
  <si>
    <t>1. Diagnóstico estructura
2. Diseño nueva organización
3. Consulta ministerios
4. Aprobación DS
5. Implementación
6. Evaluación funcionamiento</t>
  </si>
  <si>
    <t>Eje 6 – Bienestar para Todos</t>
  </si>
  <si>
    <t>i.21</t>
  </si>
  <si>
    <t>Redes integradas intersectoriales</t>
  </si>
  <si>
    <t>Índice de Avance del Proceso de Integración de Redes Intersectoriales</t>
  </si>
  <si>
    <t>1. Mapeo de redes
2. Diseño del modelo integrado
3. Validación técnica
4. Aprobación resolución
5. Implementación piloto
6. Escalonamiento</t>
  </si>
  <si>
    <t>i.22</t>
  </si>
  <si>
    <t>Atención primaria – capacidad resolutiva</t>
  </si>
  <si>
    <t>Índice de Avance del Proceso de Fortalecimiento de APS</t>
  </si>
  <si>
    <t>1. Diagnóstico capacidad
2. Diseño plan de fortalecimiento
3. Financiamiento asegurado
4. Equipamiento y RRHH
5. Implementación
6. Evaluación calidad</t>
  </si>
  <si>
    <t>i.23</t>
  </si>
  <si>
    <t>Escuelas normales (3.000 mejores postulantes)</t>
  </si>
  <si>
    <t>Índice de Avance del Proceso de Selección Meritocrática Docente</t>
  </si>
  <si>
    <t>1. Diseño sistema meritocrático
2. Aprobación reglamento
3. Convocatoria nacional
4. Selección 3,000 postulantes
5. Inicio formación
6. Evaluación egreso</t>
  </si>
  <si>
    <t>i.24</t>
  </si>
  <si>
    <t>Agua, saneamiento y vivienda</t>
  </si>
  <si>
    <t>Índice de Avance del Proceso de Ampliación de Servicios Básicos y Vivienda</t>
  </si>
  <si>
    <t>1. Diagnóstico territorial
2. Priorización proyectos
3. Financiamiento asegurado
4. Ejecución obras
5. Entrega a beneficiarios
6. Post-evaluación</t>
  </si>
  <si>
    <t>Eje 7 – Verde y Sostenible</t>
  </si>
  <si>
    <t>i.25</t>
  </si>
  <si>
    <t>Ley de Medio Ambiente (Ley 1333)</t>
  </si>
  <si>
    <t>Ministerio de Defensa; Ministerio de Hidrocarburos y Energías</t>
  </si>
  <si>
    <t>Índice de Avance del Proceso de Reforma de la Ley de Medio Ambiente</t>
  </si>
  <si>
    <t>1. Diagnóstico Ley 1333
2. Elaboración proyecto reforma
3. Consulta ambiental
4. Aprobación Asamblea
5. Promulgación
6. Reglamentación sectorial</t>
  </si>
  <si>
    <t>i.26</t>
  </si>
  <si>
    <t>Reforma normativa (Energía Verde, Forestal, Agua)</t>
  </si>
  <si>
    <t>Índice de Avance del Proceso de Reforma del Marco Normativo Verde</t>
  </si>
  <si>
    <t>1. Diagnóstico marcos normativos
2. Diseño reformas
3. Consulta sectores
4. Aprobación normas
5. Publicación
6. Implementación regulatoria</t>
  </si>
  <si>
    <t>i.27</t>
  </si>
  <si>
    <t>Taxonomía verde</t>
  </si>
  <si>
    <t>Índice de Avance del Proceso de Construcción de la Taxonomía Verde</t>
  </si>
  <si>
    <t>1. Diagnóstico marco taxonomía
2. Diseño taxonomía Bolivia
3. Consulta expertos/BID/CAF
4. Validación técnica
5. Aprobación resolución
6. Implementación financiera</t>
  </si>
  <si>
    <t>i.28</t>
  </si>
  <si>
    <t>Ministerio de Defensa</t>
  </si>
  <si>
    <t>Índice de Avance del Proceso de Implementación del Sistema de Prevención</t>
  </si>
  <si>
    <t>1. Diagnóstico riesgos
2. Diseño sistema alerta temprana
3. Equipamiento
4. Capacitación institucional
5. Operación del sistema
6. Simulacros nacionales</t>
  </si>
  <si>
    <t>i.29</t>
  </si>
  <si>
    <t>Índice de Avance del Proceso de Saneamiento y Titulación de Tierras</t>
  </si>
  <si>
    <t>1. Diagnóstico tierras pendientes
2. Diseño proceso acelerado
3. Aprobación resolución INRA
4. Campaña territorial
5. Titulación masiva
6. Registro en DD.RR.</t>
  </si>
  <si>
    <t>Ministerio de Turismo Sostenible; Ministerio de Economía</t>
  </si>
  <si>
    <t>Ministerio de Planificación del Desarrollo; Ministerio de Hidrocarburos y Energías</t>
  </si>
  <si>
    <t>Ministerio de Planificación del Desarrollo; INRA</t>
  </si>
  <si>
    <t>Capacitación, promoción e Infraestructura Turística del destino turístico Marca País (Uyuni – Lagunas)</t>
  </si>
  <si>
    <t>Adecuación a normas de transparencia y lucha contra la corrupción con estándares internacionales</t>
  </si>
  <si>
    <t>Actualizar los reglamentos de los sistemas de la Ley N°1178</t>
  </si>
  <si>
    <t>Garantizar horas, transparencia y mejoras</t>
  </si>
  <si>
    <t>Intersectorial (Educación, Salud, Agua, Vivienda) Zonas Nuevas de saneamiento</t>
  </si>
  <si>
    <t>i.30</t>
  </si>
  <si>
    <t>i.31</t>
  </si>
  <si>
    <t>Fortalecimiento de la Prevención desastres naturales</t>
  </si>
  <si>
    <t>i.32</t>
  </si>
  <si>
    <t>Proceso de saneamiento de tierras  (+ modif. de la Ley INRA)</t>
  </si>
  <si>
    <t>Ministerio de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</si>
</sst>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154360"/>
      <name val="Arial"/>
      <family val="2"/>
    </font>
    <font>
      <b/>
      <sz val="9"/>
      <color rgb="FF000000"/>
      <name val="Arial"/>
      <family val="2"/>
    </font>
    <font>
      <b/>
      <sz val="10"/>
      <color rgb="FF145A32"/>
      <name val="Arial"/>
      <family val="2"/>
    </font>
    <font>
      <b/>
      <sz val="10"/>
      <color rgb="FF7E510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0D1F3C"/>
        <bgColor rgb="FF1A1A1A"/>
      </patternFill>
    </fill>
    <fill>
      <patternFill patternType="solid">
        <fgColor rgb="FF1A3A6B"/>
        <bgColor rgb="FF1F3864"/>
      </patternFill>
    </fill>
    <fill>
      <patternFill patternType="solid">
        <fgColor rgb="FF17375E"/>
        <bgColor rgb="FF1F3864"/>
      </patternFill>
    </fill>
    <fill>
      <patternFill patternType="solid">
        <fgColor rgb="FF1F4E79"/>
        <bgColor rgb="FF154360"/>
      </patternFill>
    </fill>
    <fill>
      <patternFill patternType="solid">
        <fgColor rgb="FF375623"/>
        <bgColor rgb="FF145A32"/>
      </patternFill>
    </fill>
    <fill>
      <patternFill patternType="solid">
        <fgColor rgb="FF843C0C"/>
        <bgColor rgb="FF7E5109"/>
      </patternFill>
    </fill>
    <fill>
      <patternFill patternType="solid">
        <fgColor rgb="FF7B2C2C"/>
        <bgColor rgb="FF843C0C"/>
      </patternFill>
    </fill>
    <fill>
      <patternFill patternType="solid">
        <fgColor rgb="FF2E75B6"/>
        <bgColor rgb="FF008080"/>
      </patternFill>
    </fill>
    <fill>
      <patternFill patternType="solid">
        <fgColor rgb="FF4E7A1E"/>
        <bgColor rgb="FF375623"/>
      </patternFill>
    </fill>
    <fill>
      <patternFill patternType="solid">
        <fgColor rgb="FFDCE6F1"/>
        <bgColor rgb="FFD6E4F0"/>
      </patternFill>
    </fill>
    <fill>
      <patternFill patternType="solid">
        <fgColor rgb="FFAED6F1"/>
        <bgColor rgb="FFABEBC6"/>
      </patternFill>
    </fill>
    <fill>
      <patternFill patternType="solid">
        <fgColor rgb="FFABEBC6"/>
        <bgColor rgb="FFAED6F1"/>
      </patternFill>
    </fill>
    <fill>
      <patternFill patternType="solid">
        <fgColor rgb="FFEEF4FB"/>
        <bgColor rgb="FFEEF5FB"/>
      </patternFill>
    </fill>
    <fill>
      <patternFill patternType="solid">
        <fgColor rgb="FFF4F9ED"/>
        <bgColor rgb="FFF0F7EB"/>
      </patternFill>
    </fill>
    <fill>
      <patternFill patternType="solid">
        <fgColor rgb="FFEBF1DE"/>
        <bgColor rgb="FFE2EFDA"/>
      </patternFill>
    </fill>
    <fill>
      <patternFill patternType="solid">
        <fgColor rgb="FFFCE4D6"/>
        <bgColor rgb="FFFDEBD0"/>
      </patternFill>
    </fill>
    <fill>
      <patternFill patternType="solid">
        <fgColor rgb="FFFEF2EC"/>
        <bgColor rgb="FFFEF9E7"/>
      </patternFill>
    </fill>
    <fill>
      <patternFill patternType="solid">
        <fgColor rgb="FFF4F0FA"/>
        <bgColor rgb="FFEEF4FB"/>
      </patternFill>
    </fill>
    <fill>
      <patternFill patternType="solid">
        <fgColor rgb="FFE8E0F0"/>
        <bgColor rgb="FFDCE6F1"/>
      </patternFill>
    </fill>
    <fill>
      <patternFill patternType="solid">
        <fgColor rgb="FFDDEBF7"/>
        <bgColor rgb="FFD6EAF8"/>
      </patternFill>
    </fill>
    <fill>
      <patternFill patternType="solid">
        <fgColor rgb="FFEEF5FB"/>
        <bgColor rgb="FFEEF4FB"/>
      </patternFill>
    </fill>
    <fill>
      <patternFill patternType="solid">
        <fgColor rgb="FFE2EFDA"/>
        <bgColor rgb="FFEBF1DE"/>
      </patternFill>
    </fill>
    <fill>
      <patternFill patternType="solid">
        <fgColor rgb="FFF0F7EB"/>
        <bgColor rgb="FFF4F9ED"/>
      </patternFill>
    </fill>
    <fill>
      <patternFill patternType="solid">
        <fgColor rgb="FFFFFF00"/>
        <bgColor rgb="FFD6E4F0"/>
      </patternFill>
    </fill>
    <fill>
      <patternFill patternType="solid">
        <fgColor rgb="FFFFFF00"/>
        <bgColor rgb="FFEEF5FB"/>
      </patternFill>
    </fill>
    <fill>
      <patternFill patternType="solid">
        <fgColor rgb="FFFFFF00"/>
        <bgColor rgb="FFF0F7EB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DEBD0"/>
      </patternFill>
    </fill>
    <fill>
      <patternFill patternType="solid">
        <fgColor rgb="FFFFFF00"/>
        <bgColor rgb="FFFEF9E7"/>
      </patternFill>
    </fill>
    <fill>
      <patternFill patternType="solid">
        <fgColor rgb="FFFFFF00"/>
        <bgColor rgb="FFEEF4FB"/>
      </patternFill>
    </fill>
    <fill>
      <patternFill patternType="solid">
        <fgColor rgb="FFFFFF00"/>
        <bgColor rgb="FFDCE6F1"/>
      </patternFill>
    </fill>
    <fill>
      <patternFill patternType="solid">
        <fgColor rgb="FFFFFF00"/>
        <bgColor rgb="FFD6EAF8"/>
      </patternFill>
    </fill>
    <fill>
      <patternFill patternType="solid">
        <fgColor rgb="FFFFFF00"/>
        <bgColor rgb="FFEBF1DE"/>
      </patternFill>
    </fill>
    <fill>
      <patternFill patternType="solid">
        <fgColor rgb="FFFFFF00"/>
        <bgColor rgb="FFF4F9ED"/>
      </patternFill>
    </fill>
  </fills>
  <borders count="4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5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center" vertical="center" wrapText="1"/>
    </xf>
    <xf numFmtId="164" fontId="8" fillId="11" borderId="2" xfId="0" applyNumberFormat="1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164" fontId="10" fillId="11" borderId="2" xfId="0" applyNumberFormat="1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left" vertical="center" wrapText="1"/>
    </xf>
    <xf numFmtId="164" fontId="8" fillId="14" borderId="2" xfId="0" applyNumberFormat="1" applyFont="1" applyFill="1" applyBorder="1" applyAlignment="1">
      <alignment horizontal="center" vertical="center" wrapText="1"/>
    </xf>
    <xf numFmtId="164" fontId="10" fillId="14" borderId="2" xfId="0" applyNumberFormat="1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164" fontId="8" fillId="15" borderId="2" xfId="0" applyNumberFormat="1" applyFont="1" applyFill="1" applyBorder="1" applyAlignment="1">
      <alignment horizontal="center" vertical="center" wrapText="1"/>
    </xf>
    <xf numFmtId="164" fontId="10" fillId="15" borderId="2" xfId="0" applyNumberFormat="1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left" vertical="center" wrapText="1"/>
    </xf>
    <xf numFmtId="164" fontId="8" fillId="16" borderId="2" xfId="0" applyNumberFormat="1" applyFont="1" applyFill="1" applyBorder="1" applyAlignment="1">
      <alignment horizontal="center" vertical="center" wrapText="1"/>
    </xf>
    <xf numFmtId="164" fontId="10" fillId="16" borderId="2" xfId="0" applyNumberFormat="1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left" vertical="center" wrapText="1"/>
    </xf>
    <xf numFmtId="164" fontId="8" fillId="17" borderId="2" xfId="0" applyNumberFormat="1" applyFont="1" applyFill="1" applyBorder="1" applyAlignment="1">
      <alignment horizontal="center" vertical="center" wrapText="1"/>
    </xf>
    <xf numFmtId="164" fontId="10" fillId="17" borderId="2" xfId="0" applyNumberFormat="1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left" vertical="center" wrapText="1"/>
    </xf>
    <xf numFmtId="164" fontId="8" fillId="18" borderId="2" xfId="0" applyNumberFormat="1" applyFont="1" applyFill="1" applyBorder="1" applyAlignment="1">
      <alignment horizontal="center" vertical="center" wrapText="1"/>
    </xf>
    <xf numFmtId="164" fontId="10" fillId="18" borderId="2" xfId="0" applyNumberFormat="1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left" vertical="center" wrapText="1"/>
    </xf>
    <xf numFmtId="164" fontId="8" fillId="19" borderId="2" xfId="0" applyNumberFormat="1" applyFont="1" applyFill="1" applyBorder="1" applyAlignment="1">
      <alignment horizontal="center" vertical="center" wrapText="1"/>
    </xf>
    <xf numFmtId="164" fontId="10" fillId="19" borderId="2" xfId="0" applyNumberFormat="1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left" vertical="center" wrapText="1"/>
    </xf>
    <xf numFmtId="164" fontId="8" fillId="20" borderId="2" xfId="0" applyNumberFormat="1" applyFont="1" applyFill="1" applyBorder="1" applyAlignment="1">
      <alignment horizontal="center" vertical="center" wrapText="1"/>
    </xf>
    <xf numFmtId="164" fontId="10" fillId="20" borderId="2" xfId="0" applyNumberFormat="1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left" vertical="center" wrapText="1"/>
    </xf>
    <xf numFmtId="164" fontId="8" fillId="21" borderId="2" xfId="0" applyNumberFormat="1" applyFont="1" applyFill="1" applyBorder="1" applyAlignment="1">
      <alignment horizontal="center" vertical="center" wrapText="1"/>
    </xf>
    <xf numFmtId="164" fontId="10" fillId="21" borderId="2" xfId="0" applyNumberFormat="1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left" vertical="center" wrapText="1"/>
    </xf>
    <xf numFmtId="164" fontId="8" fillId="22" borderId="2" xfId="0" applyNumberFormat="1" applyFont="1" applyFill="1" applyBorder="1" applyAlignment="1">
      <alignment horizontal="center" vertical="center" wrapText="1"/>
    </xf>
    <xf numFmtId="164" fontId="10" fillId="22" borderId="2" xfId="0" applyNumberFormat="1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horizontal="center" vertical="center" wrapText="1"/>
    </xf>
    <xf numFmtId="0" fontId="6" fillId="23" borderId="2" xfId="0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horizontal="left" vertical="center" wrapText="1"/>
    </xf>
    <xf numFmtId="164" fontId="8" fillId="23" borderId="2" xfId="0" applyNumberFormat="1" applyFont="1" applyFill="1" applyBorder="1" applyAlignment="1">
      <alignment horizontal="center" vertical="center" wrapText="1"/>
    </xf>
    <xf numFmtId="164" fontId="10" fillId="23" borderId="2" xfId="0" applyNumberFormat="1" applyFont="1" applyFill="1" applyBorder="1" applyAlignment="1">
      <alignment horizontal="center" vertical="center" wrapText="1"/>
    </xf>
    <xf numFmtId="0" fontId="5" fillId="24" borderId="2" xfId="0" applyFont="1" applyFill="1" applyBorder="1" applyAlignment="1">
      <alignment horizontal="center" vertical="center" wrapText="1"/>
    </xf>
    <xf numFmtId="0" fontId="6" fillId="24" borderId="2" xfId="0" applyFont="1" applyFill="1" applyBorder="1" applyAlignment="1">
      <alignment horizontal="center" vertical="center" wrapText="1"/>
    </xf>
    <xf numFmtId="0" fontId="5" fillId="24" borderId="2" xfId="0" applyFont="1" applyFill="1" applyBorder="1" applyAlignment="1">
      <alignment horizontal="left" vertical="center" wrapText="1"/>
    </xf>
    <xf numFmtId="164" fontId="8" fillId="24" borderId="2" xfId="0" applyNumberFormat="1" applyFont="1" applyFill="1" applyBorder="1" applyAlignment="1">
      <alignment horizontal="center" vertical="center" wrapText="1"/>
    </xf>
    <xf numFmtId="164" fontId="10" fillId="24" borderId="2" xfId="0" applyNumberFormat="1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left" vertical="center" wrapText="1"/>
    </xf>
    <xf numFmtId="0" fontId="5" fillId="26" borderId="2" xfId="0" applyFont="1" applyFill="1" applyBorder="1" applyAlignment="1">
      <alignment horizontal="left" vertical="center" wrapText="1"/>
    </xf>
    <xf numFmtId="0" fontId="5" fillId="27" borderId="2" xfId="0" applyFont="1" applyFill="1" applyBorder="1" applyAlignment="1">
      <alignment horizontal="left" vertical="center" wrapText="1"/>
    </xf>
    <xf numFmtId="0" fontId="5" fillId="28" borderId="2" xfId="0" applyFont="1" applyFill="1" applyBorder="1" applyAlignment="1">
      <alignment horizontal="left" vertical="center" wrapText="1"/>
    </xf>
    <xf numFmtId="0" fontId="5" fillId="29" borderId="2" xfId="0" applyFont="1" applyFill="1" applyBorder="1" applyAlignment="1">
      <alignment horizontal="left" vertical="center" wrapText="1"/>
    </xf>
    <xf numFmtId="0" fontId="5" fillId="30" borderId="2" xfId="0" applyFont="1" applyFill="1" applyBorder="1" applyAlignment="1">
      <alignment horizontal="left" vertical="center" wrapText="1"/>
    </xf>
    <xf numFmtId="0" fontId="5" fillId="31" borderId="2" xfId="0" applyFont="1" applyFill="1" applyBorder="1" applyAlignment="1">
      <alignment horizontal="left" vertical="center" wrapText="1"/>
    </xf>
    <xf numFmtId="0" fontId="5" fillId="32" borderId="2" xfId="0" applyFont="1" applyFill="1" applyBorder="1" applyAlignment="1">
      <alignment horizontal="left" vertical="center" wrapText="1"/>
    </xf>
    <xf numFmtId="0" fontId="5" fillId="33" borderId="2" xfId="0" applyFont="1" applyFill="1" applyBorder="1" applyAlignment="1">
      <alignment horizontal="left" vertical="center" wrapText="1"/>
    </xf>
    <xf numFmtId="0" fontId="5" fillId="34" borderId="2" xfId="0" applyFont="1" applyFill="1" applyBorder="1" applyAlignment="1">
      <alignment horizontal="left" vertical="center" wrapText="1"/>
    </xf>
    <xf numFmtId="0" fontId="5" fillId="35" borderId="2" xfId="0" applyFont="1" applyFill="1" applyBorder="1" applyAlignment="1">
      <alignment horizontal="left" vertical="center" wrapText="1"/>
    </xf>
    <xf numFmtId="0" fontId="6" fillId="24" borderId="3" xfId="0" applyFont="1" applyFill="1" applyBorder="1" applyAlignment="1">
      <alignment horizontal="center" vertical="center" wrapText="1"/>
    </xf>
    <xf numFmtId="0" fontId="6" fillId="2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EEF5FB"/>
      <rgbColor rgb="FF800000"/>
      <rgbColor rgb="FF145A32"/>
      <rgbColor rgb="FF000080"/>
      <rgbColor rgb="FF7B5B00"/>
      <rgbColor rgb="FF800080"/>
      <rgbColor rgb="FF154360"/>
      <rgbColor rgb="FFABEBC6"/>
      <rgbColor rgb="FF888888"/>
      <rgbColor rgb="FFDCE6F1"/>
      <rgbColor rgb="FF7B2C2C"/>
      <rgbColor rgb="FFFEF9E7"/>
      <rgbColor rgb="FFD6EAF8"/>
      <rgbColor rgb="FF660066"/>
      <rgbColor rgb="FFF4F0FA"/>
      <rgbColor rgb="FF1F4E79"/>
      <rgbColor rgb="FFD6E4F0"/>
      <rgbColor rgb="FF000080"/>
      <rgbColor rgb="FFFF00FF"/>
      <rgbColor rgb="FFEBF1DE"/>
      <rgbColor rgb="FFEEF4FB"/>
      <rgbColor rgb="FF800080"/>
      <rgbColor rgb="FF800000"/>
      <rgbColor rgb="FF008080"/>
      <rgbColor rgb="FF0000FF"/>
      <rgbColor rgb="FF00CCFF"/>
      <rgbColor rgb="FFEAFAF1"/>
      <rgbColor rgb="FFD5F5E3"/>
      <rgbColor rgb="FFFDEBD0"/>
      <rgbColor rgb="FFAED6F1"/>
      <rgbColor rgb="FFFCE4D6"/>
      <rgbColor rgb="FFE8E0F0"/>
      <rgbColor rgb="FFFADBD8"/>
      <rgbColor rgb="FF2E75B6"/>
      <rgbColor rgb="FFEBF5FB"/>
      <rgbColor rgb="FFDDEBF7"/>
      <rgbColor rgb="FFFEF2EC"/>
      <rgbColor rgb="FFF0F7EB"/>
      <rgbColor rgb="FFF4F9ED"/>
      <rgbColor rgb="FF375623"/>
      <rgbColor rgb="FFAAAAAA"/>
      <rgbColor rgb="FF17375E"/>
      <rgbColor rgb="FF4E7A1E"/>
      <rgbColor rgb="FF0D1F3C"/>
      <rgbColor rgb="FF1A1A1A"/>
      <rgbColor rgb="FF843C0C"/>
      <rgbColor rgb="FF7E5109"/>
      <rgbColor rgb="FF1A3A6B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topLeftCell="A32" zoomScaleNormal="100" workbookViewId="0">
      <selection activeCell="D35" sqref="D35"/>
    </sheetView>
  </sheetViews>
  <sheetFormatPr baseColWidth="10" defaultColWidth="8.7109375" defaultRowHeight="15" x14ac:dyDescent="0.25"/>
  <cols>
    <col min="1" max="1" width="20" customWidth="1"/>
    <col min="2" max="2" width="6" customWidth="1"/>
    <col min="3" max="3" width="26" customWidth="1"/>
    <col min="4" max="4" width="28" customWidth="1"/>
    <col min="5" max="5" width="34" customWidth="1"/>
    <col min="6" max="6" width="22" customWidth="1"/>
    <col min="7" max="7" width="8" customWidth="1"/>
    <col min="8" max="8" width="38" customWidth="1"/>
    <col min="9" max="9" width="10" customWidth="1"/>
    <col min="10" max="10" width="9" customWidth="1"/>
    <col min="11" max="14" width="10" customWidth="1"/>
    <col min="15" max="15" width="9" customWidth="1"/>
    <col min="16" max="17" width="14" customWidth="1"/>
    <col min="18" max="18" width="10" customWidth="1"/>
    <col min="19" max="19" width="18" customWidth="1"/>
    <col min="20" max="20" width="30" customWidth="1"/>
  </cols>
  <sheetData>
    <row r="1" spans="1:20" ht="30" customHeight="1" x14ac:dyDescent="0.25">
      <c r="A1" s="15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5.75" customHeight="1" x14ac:dyDescent="0.25">
      <c r="A2" s="16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ht="19.5" customHeight="1" x14ac:dyDescent="0.25">
      <c r="A3" s="17" t="s">
        <v>2</v>
      </c>
      <c r="B3" s="10"/>
      <c r="C3" s="10"/>
      <c r="D3" s="10"/>
      <c r="E3" s="10"/>
      <c r="F3" s="11" t="s">
        <v>3</v>
      </c>
      <c r="G3" s="11"/>
      <c r="H3" s="11"/>
      <c r="I3" s="11"/>
      <c r="J3" s="11"/>
      <c r="K3" s="12" t="s">
        <v>4</v>
      </c>
      <c r="L3" s="12"/>
      <c r="M3" s="12"/>
      <c r="N3" s="12"/>
      <c r="O3" s="12"/>
      <c r="P3" s="13" t="s">
        <v>5</v>
      </c>
      <c r="Q3" s="13"/>
      <c r="R3" s="13"/>
      <c r="S3" s="14" t="s">
        <v>6</v>
      </c>
      <c r="T3" s="14"/>
    </row>
    <row r="4" spans="1:20" ht="66" customHeight="1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2" t="s">
        <v>12</v>
      </c>
      <c r="G4" s="2" t="s">
        <v>13</v>
      </c>
      <c r="H4" s="2" t="s">
        <v>14</v>
      </c>
      <c r="I4" s="3" t="s">
        <v>15</v>
      </c>
      <c r="J4" s="3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5" t="s">
        <v>21</v>
      </c>
      <c r="P4" s="6" t="s">
        <v>22</v>
      </c>
      <c r="Q4" s="6" t="s">
        <v>23</v>
      </c>
      <c r="R4" s="6" t="s">
        <v>24</v>
      </c>
      <c r="S4" s="7" t="s">
        <v>25</v>
      </c>
      <c r="T4" s="7" t="s">
        <v>26</v>
      </c>
    </row>
    <row r="5" spans="1:20" ht="69.75" customHeight="1" x14ac:dyDescent="0.25">
      <c r="A5" s="18" t="s">
        <v>27</v>
      </c>
      <c r="B5" s="19" t="s">
        <v>28</v>
      </c>
      <c r="C5" s="75" t="s">
        <v>29</v>
      </c>
      <c r="D5" s="20" t="s">
        <v>30</v>
      </c>
      <c r="E5" s="20" t="s">
        <v>31</v>
      </c>
      <c r="F5" s="20" t="s">
        <v>32</v>
      </c>
      <c r="G5" s="18">
        <v>6</v>
      </c>
      <c r="H5" s="20" t="s">
        <v>33</v>
      </c>
      <c r="I5" s="21">
        <v>4</v>
      </c>
      <c r="J5" s="22">
        <f t="shared" ref="J5:J36" si="0">IFERROR(I5/G5,0)</f>
        <v>0.66666666666666663</v>
      </c>
      <c r="K5" s="23">
        <v>0</v>
      </c>
      <c r="L5" s="23">
        <v>0</v>
      </c>
      <c r="M5" s="23">
        <v>0</v>
      </c>
      <c r="N5" s="23">
        <v>0</v>
      </c>
      <c r="O5" s="22">
        <f t="shared" ref="O5:O36" si="1">IFERROR((K5+L5+M5+N5)/12,0)</f>
        <v>0</v>
      </c>
      <c r="P5" s="18" t="str">
        <f t="shared" ref="P5:P36" si="2">IF(J5&lt;=0.15,"🔴 ROJO",IF(J5&lt;=0.65,"🟡 AMARILLO","🟢 VERDE"))</f>
        <v>🟢 VERDE</v>
      </c>
      <c r="Q5" s="18" t="str">
        <f t="shared" ref="Q5:Q36" si="3">IF(O5&lt;=0.25,"🔴 ROJO",IF(O5&lt;=0.65,"🟡 AMARILLO","🟢 VERDE"))</f>
        <v>🔴 ROJO</v>
      </c>
      <c r="R5" s="24">
        <f t="shared" ref="R5:R36" si="4">IFERROR((J5*0.5)+(O5*0.5),0)</f>
        <v>0.33333333333333331</v>
      </c>
      <c r="S5" s="18" t="str">
        <f t="shared" ref="S5:S36" si="5">IF(R5&lt;=0.2,"🔴 CRÍTICO",IF(R5&lt;=0.4,"🔴 REZAGADO",IF(R5&lt;=0.6,"🟡 EN DESARROLLO",IF(R5&lt;=0.8,"🟡 EN BUEN CURSO","🟢 SATISFACTORIO"))))</f>
        <v>🔴 REZAGADO</v>
      </c>
      <c r="T5" s="20" t="str">
        <f t="shared" ref="T5:T36" si="6">IF(R5&lt;=0.2,"Intervención presidencial urgente",IF(R5&lt;=0.4,"Alerta al Ministerio – plan 15 días",IF(R5&lt;=0.6,"Monitoreo reforzado mensual",IF(R5&lt;=0.8,"Seguimiento trimestral","Documentar y cerrar etapa"))))</f>
        <v>Alerta al Ministerio – plan 15 días</v>
      </c>
    </row>
    <row r="6" spans="1:20" ht="69.75" customHeight="1" x14ac:dyDescent="0.25">
      <c r="A6" s="25" t="s">
        <v>27</v>
      </c>
      <c r="B6" s="26" t="s">
        <v>34</v>
      </c>
      <c r="C6" s="76" t="s">
        <v>35</v>
      </c>
      <c r="D6" s="27" t="s">
        <v>93</v>
      </c>
      <c r="E6" s="27" t="s">
        <v>36</v>
      </c>
      <c r="F6" s="27" t="s">
        <v>32</v>
      </c>
      <c r="G6" s="25">
        <v>6</v>
      </c>
      <c r="H6" s="27" t="s">
        <v>37</v>
      </c>
      <c r="I6" s="21">
        <v>0</v>
      </c>
      <c r="J6" s="28">
        <f t="shared" si="0"/>
        <v>0</v>
      </c>
      <c r="K6" s="23">
        <v>0</v>
      </c>
      <c r="L6" s="23">
        <v>0</v>
      </c>
      <c r="M6" s="23">
        <v>0</v>
      </c>
      <c r="N6" s="23">
        <v>0</v>
      </c>
      <c r="O6" s="28">
        <f t="shared" si="1"/>
        <v>0</v>
      </c>
      <c r="P6" s="25" t="str">
        <f t="shared" si="2"/>
        <v>🔴 ROJO</v>
      </c>
      <c r="Q6" s="25">
        <v>0</v>
      </c>
      <c r="R6" s="29">
        <f t="shared" si="4"/>
        <v>0</v>
      </c>
      <c r="S6" s="25" t="str">
        <f t="shared" si="5"/>
        <v>🔴 CRÍTICO</v>
      </c>
      <c r="T6" s="27" t="str">
        <f t="shared" si="6"/>
        <v>Intervención presidencial urgente</v>
      </c>
    </row>
    <row r="7" spans="1:20" ht="69.75" customHeight="1" x14ac:dyDescent="0.25">
      <c r="A7" s="18" t="s">
        <v>27</v>
      </c>
      <c r="B7" s="19" t="s">
        <v>38</v>
      </c>
      <c r="C7" s="75" t="s">
        <v>39</v>
      </c>
      <c r="D7" s="20" t="s">
        <v>173</v>
      </c>
      <c r="E7" s="20" t="s">
        <v>40</v>
      </c>
      <c r="F7" s="20" t="s">
        <v>32</v>
      </c>
      <c r="G7" s="18">
        <v>6</v>
      </c>
      <c r="H7" s="20" t="s">
        <v>41</v>
      </c>
      <c r="I7" s="21">
        <v>0</v>
      </c>
      <c r="J7" s="22">
        <f t="shared" si="0"/>
        <v>0</v>
      </c>
      <c r="K7" s="23">
        <v>0</v>
      </c>
      <c r="L7" s="23">
        <v>0</v>
      </c>
      <c r="M7" s="23">
        <v>0</v>
      </c>
      <c r="N7" s="23">
        <v>0</v>
      </c>
      <c r="O7" s="22">
        <f t="shared" si="1"/>
        <v>0</v>
      </c>
      <c r="P7" s="18" t="str">
        <f t="shared" si="2"/>
        <v>🔴 ROJO</v>
      </c>
      <c r="Q7" s="18" t="str">
        <f t="shared" si="3"/>
        <v>🔴 ROJO</v>
      </c>
      <c r="R7" s="24">
        <f t="shared" si="4"/>
        <v>0</v>
      </c>
      <c r="S7" s="18" t="str">
        <f t="shared" si="5"/>
        <v>🔴 CRÍTICO</v>
      </c>
      <c r="T7" s="20" t="str">
        <f t="shared" si="6"/>
        <v>Intervención presidencial urgente</v>
      </c>
    </row>
    <row r="8" spans="1:20" ht="69.75" customHeight="1" x14ac:dyDescent="0.25">
      <c r="A8" s="25" t="s">
        <v>27</v>
      </c>
      <c r="B8" s="26" t="s">
        <v>42</v>
      </c>
      <c r="C8" s="76" t="s">
        <v>43</v>
      </c>
      <c r="D8" s="27" t="s">
        <v>160</v>
      </c>
      <c r="E8" s="27" t="s">
        <v>44</v>
      </c>
      <c r="F8" s="27" t="s">
        <v>32</v>
      </c>
      <c r="G8" s="25">
        <v>6</v>
      </c>
      <c r="H8" s="27" t="s">
        <v>45</v>
      </c>
      <c r="I8" s="21">
        <v>0</v>
      </c>
      <c r="J8" s="28">
        <f t="shared" si="0"/>
        <v>0</v>
      </c>
      <c r="K8" s="23">
        <v>0</v>
      </c>
      <c r="L8" s="23">
        <v>0</v>
      </c>
      <c r="M8" s="23">
        <v>0</v>
      </c>
      <c r="N8" s="23">
        <v>0</v>
      </c>
      <c r="O8" s="28">
        <f t="shared" si="1"/>
        <v>0</v>
      </c>
      <c r="P8" s="25" t="str">
        <f t="shared" si="2"/>
        <v>🔴 ROJO</v>
      </c>
      <c r="Q8" s="25" t="str">
        <f t="shared" si="3"/>
        <v>🔴 ROJO</v>
      </c>
      <c r="R8" s="29">
        <f t="shared" si="4"/>
        <v>0</v>
      </c>
      <c r="S8" s="25" t="str">
        <f t="shared" si="5"/>
        <v>🔴 CRÍTICO</v>
      </c>
      <c r="T8" s="27" t="str">
        <f t="shared" si="6"/>
        <v>Intervención presidencial urgente</v>
      </c>
    </row>
    <row r="9" spans="1:20" ht="69.75" customHeight="1" x14ac:dyDescent="0.25">
      <c r="A9" s="18" t="s">
        <v>27</v>
      </c>
      <c r="B9" s="19" t="s">
        <v>46</v>
      </c>
      <c r="C9" s="75" t="s">
        <v>47</v>
      </c>
      <c r="D9" s="20" t="s">
        <v>48</v>
      </c>
      <c r="E9" s="20" t="s">
        <v>49</v>
      </c>
      <c r="F9" s="20" t="s">
        <v>32</v>
      </c>
      <c r="G9" s="18">
        <v>6</v>
      </c>
      <c r="H9" s="20" t="s">
        <v>50</v>
      </c>
      <c r="I9" s="21">
        <v>0</v>
      </c>
      <c r="J9" s="22">
        <f t="shared" si="0"/>
        <v>0</v>
      </c>
      <c r="K9" s="23">
        <v>0</v>
      </c>
      <c r="L9" s="23">
        <v>0</v>
      </c>
      <c r="M9" s="23">
        <v>0</v>
      </c>
      <c r="N9" s="23">
        <v>0</v>
      </c>
      <c r="O9" s="22">
        <f t="shared" si="1"/>
        <v>0</v>
      </c>
      <c r="P9" s="18" t="str">
        <f t="shared" si="2"/>
        <v>🔴 ROJO</v>
      </c>
      <c r="Q9" s="18" t="str">
        <f t="shared" si="3"/>
        <v>🔴 ROJO</v>
      </c>
      <c r="R9" s="24">
        <f t="shared" si="4"/>
        <v>0</v>
      </c>
      <c r="S9" s="18" t="str">
        <f t="shared" si="5"/>
        <v>🔴 CRÍTICO</v>
      </c>
      <c r="T9" s="20" t="str">
        <f t="shared" si="6"/>
        <v>Intervención presidencial urgente</v>
      </c>
    </row>
    <row r="10" spans="1:20" ht="69.75" customHeight="1" x14ac:dyDescent="0.25">
      <c r="A10" s="30" t="s">
        <v>51</v>
      </c>
      <c r="B10" s="26" t="s">
        <v>52</v>
      </c>
      <c r="C10" s="77" t="s">
        <v>53</v>
      </c>
      <c r="D10" s="31" t="s">
        <v>54</v>
      </c>
      <c r="E10" s="31" t="s">
        <v>55</v>
      </c>
      <c r="F10" s="31" t="s">
        <v>32</v>
      </c>
      <c r="G10" s="30">
        <v>6</v>
      </c>
      <c r="H10" s="31" t="s">
        <v>56</v>
      </c>
      <c r="I10" s="21">
        <v>0</v>
      </c>
      <c r="J10" s="32">
        <f t="shared" si="0"/>
        <v>0</v>
      </c>
      <c r="K10" s="23">
        <v>0</v>
      </c>
      <c r="L10" s="23">
        <v>0</v>
      </c>
      <c r="M10" s="23">
        <v>0</v>
      </c>
      <c r="N10" s="23">
        <v>0</v>
      </c>
      <c r="O10" s="32">
        <f t="shared" si="1"/>
        <v>0</v>
      </c>
      <c r="P10" s="30" t="str">
        <f t="shared" si="2"/>
        <v>🔴 ROJO</v>
      </c>
      <c r="Q10" s="30" t="str">
        <f t="shared" si="3"/>
        <v>🔴 ROJO</v>
      </c>
      <c r="R10" s="33">
        <f t="shared" si="4"/>
        <v>0</v>
      </c>
      <c r="S10" s="30" t="str">
        <f t="shared" si="5"/>
        <v>🔴 CRÍTICO</v>
      </c>
      <c r="T10" s="31" t="str">
        <f t="shared" si="6"/>
        <v>Intervención presidencial urgente</v>
      </c>
    </row>
    <row r="11" spans="1:20" ht="69.75" customHeight="1" x14ac:dyDescent="0.25">
      <c r="A11" s="34" t="s">
        <v>51</v>
      </c>
      <c r="B11" s="19" t="s">
        <v>57</v>
      </c>
      <c r="C11" s="78" t="s">
        <v>58</v>
      </c>
      <c r="D11" s="35" t="s">
        <v>59</v>
      </c>
      <c r="E11" s="35" t="s">
        <v>60</v>
      </c>
      <c r="F11" s="35" t="s">
        <v>32</v>
      </c>
      <c r="G11" s="34">
        <v>6</v>
      </c>
      <c r="H11" s="35" t="s">
        <v>61</v>
      </c>
      <c r="I11" s="21">
        <v>0</v>
      </c>
      <c r="J11" s="36">
        <f t="shared" si="0"/>
        <v>0</v>
      </c>
      <c r="K11" s="23">
        <v>0</v>
      </c>
      <c r="L11" s="23">
        <v>0</v>
      </c>
      <c r="M11" s="23">
        <v>0</v>
      </c>
      <c r="N11" s="23">
        <v>0</v>
      </c>
      <c r="O11" s="36">
        <f t="shared" si="1"/>
        <v>0</v>
      </c>
      <c r="P11" s="34" t="str">
        <f t="shared" si="2"/>
        <v>🔴 ROJO</v>
      </c>
      <c r="Q11" s="34" t="str">
        <f t="shared" si="3"/>
        <v>🔴 ROJO</v>
      </c>
      <c r="R11" s="37">
        <f t="shared" si="4"/>
        <v>0</v>
      </c>
      <c r="S11" s="34" t="str">
        <f t="shared" si="5"/>
        <v>🔴 CRÍTICO</v>
      </c>
      <c r="T11" s="35" t="str">
        <f t="shared" si="6"/>
        <v>Intervención presidencial urgente</v>
      </c>
    </row>
    <row r="12" spans="1:20" ht="69.75" customHeight="1" x14ac:dyDescent="0.25">
      <c r="A12" s="30" t="s">
        <v>51</v>
      </c>
      <c r="B12" s="26" t="s">
        <v>62</v>
      </c>
      <c r="C12" s="77" t="s">
        <v>163</v>
      </c>
      <c r="D12" s="31" t="s">
        <v>63</v>
      </c>
      <c r="E12" s="31" t="s">
        <v>64</v>
      </c>
      <c r="F12" s="31" t="s">
        <v>32</v>
      </c>
      <c r="G12" s="30">
        <v>6</v>
      </c>
      <c r="H12" s="31" t="s">
        <v>65</v>
      </c>
      <c r="I12" s="21">
        <v>0</v>
      </c>
      <c r="J12" s="32">
        <f t="shared" si="0"/>
        <v>0</v>
      </c>
      <c r="K12" s="23">
        <v>0</v>
      </c>
      <c r="L12" s="23">
        <v>0</v>
      </c>
      <c r="M12" s="23">
        <v>0</v>
      </c>
      <c r="N12" s="23">
        <v>0</v>
      </c>
      <c r="O12" s="32">
        <f t="shared" si="1"/>
        <v>0</v>
      </c>
      <c r="P12" s="30" t="str">
        <f t="shared" si="2"/>
        <v>🔴 ROJO</v>
      </c>
      <c r="Q12" s="30" t="str">
        <f t="shared" si="3"/>
        <v>🔴 ROJO</v>
      </c>
      <c r="R12" s="33">
        <f t="shared" si="4"/>
        <v>0</v>
      </c>
      <c r="S12" s="30" t="str">
        <f t="shared" si="5"/>
        <v>🔴 CRÍTICO</v>
      </c>
      <c r="T12" s="31" t="str">
        <f t="shared" si="6"/>
        <v>Intervención presidencial urgente</v>
      </c>
    </row>
    <row r="13" spans="1:20" ht="69.75" customHeight="1" x14ac:dyDescent="0.25">
      <c r="A13" s="34" t="s">
        <v>51</v>
      </c>
      <c r="B13" s="19" t="s">
        <v>66</v>
      </c>
      <c r="C13" s="78" t="s">
        <v>67</v>
      </c>
      <c r="D13" s="35" t="s">
        <v>68</v>
      </c>
      <c r="E13" s="35" t="s">
        <v>69</v>
      </c>
      <c r="F13" s="35" t="s">
        <v>32</v>
      </c>
      <c r="G13" s="34">
        <v>6</v>
      </c>
      <c r="H13" s="35" t="s">
        <v>70</v>
      </c>
      <c r="I13" s="21">
        <v>0</v>
      </c>
      <c r="J13" s="36">
        <f t="shared" si="0"/>
        <v>0</v>
      </c>
      <c r="K13" s="23">
        <v>0</v>
      </c>
      <c r="L13" s="23">
        <v>0</v>
      </c>
      <c r="M13" s="23">
        <v>0</v>
      </c>
      <c r="N13" s="23">
        <v>0</v>
      </c>
      <c r="O13" s="36">
        <f t="shared" si="1"/>
        <v>0</v>
      </c>
      <c r="P13" s="34" t="str">
        <f t="shared" si="2"/>
        <v>🔴 ROJO</v>
      </c>
      <c r="Q13" s="34" t="str">
        <f t="shared" si="3"/>
        <v>🔴 ROJO</v>
      </c>
      <c r="R13" s="37">
        <f t="shared" si="4"/>
        <v>0</v>
      </c>
      <c r="S13" s="34" t="str">
        <f t="shared" si="5"/>
        <v>🔴 CRÍTICO</v>
      </c>
      <c r="T13" s="35" t="str">
        <f t="shared" si="6"/>
        <v>Intervención presidencial urgente</v>
      </c>
    </row>
    <row r="14" spans="1:20" ht="69.75" customHeight="1" x14ac:dyDescent="0.25">
      <c r="A14" s="30" t="s">
        <v>51</v>
      </c>
      <c r="B14" s="26" t="s">
        <v>71</v>
      </c>
      <c r="C14" s="77" t="s">
        <v>72</v>
      </c>
      <c r="D14" s="31" t="s">
        <v>48</v>
      </c>
      <c r="E14" s="31" t="s">
        <v>73</v>
      </c>
      <c r="F14" s="31" t="s">
        <v>32</v>
      </c>
      <c r="G14" s="30">
        <v>6</v>
      </c>
      <c r="H14" s="31" t="s">
        <v>74</v>
      </c>
      <c r="I14" s="21">
        <v>0</v>
      </c>
      <c r="J14" s="32">
        <f t="shared" si="0"/>
        <v>0</v>
      </c>
      <c r="K14" s="23">
        <v>0</v>
      </c>
      <c r="L14" s="23">
        <v>0</v>
      </c>
      <c r="M14" s="23">
        <v>0</v>
      </c>
      <c r="N14" s="23">
        <v>0</v>
      </c>
      <c r="O14" s="32">
        <f t="shared" si="1"/>
        <v>0</v>
      </c>
      <c r="P14" s="30" t="str">
        <f t="shared" si="2"/>
        <v>🔴 ROJO</v>
      </c>
      <c r="Q14" s="30" t="str">
        <f t="shared" si="3"/>
        <v>🔴 ROJO</v>
      </c>
      <c r="R14" s="33">
        <f t="shared" si="4"/>
        <v>0</v>
      </c>
      <c r="S14" s="30" t="str">
        <f t="shared" si="5"/>
        <v>🔴 CRÍTICO</v>
      </c>
      <c r="T14" s="31" t="str">
        <f t="shared" si="6"/>
        <v>Intervención presidencial urgente</v>
      </c>
    </row>
    <row r="15" spans="1:20" ht="69.75" customHeight="1" x14ac:dyDescent="0.25">
      <c r="A15" s="38" t="s">
        <v>75</v>
      </c>
      <c r="B15" s="19" t="s">
        <v>76</v>
      </c>
      <c r="C15" s="79" t="s">
        <v>77</v>
      </c>
      <c r="D15" s="39" t="s">
        <v>78</v>
      </c>
      <c r="E15" s="39" t="s">
        <v>79</v>
      </c>
      <c r="F15" s="39" t="s">
        <v>32</v>
      </c>
      <c r="G15" s="38">
        <v>6</v>
      </c>
      <c r="H15" s="39" t="s">
        <v>80</v>
      </c>
      <c r="I15" s="21">
        <v>0</v>
      </c>
      <c r="J15" s="40">
        <f t="shared" si="0"/>
        <v>0</v>
      </c>
      <c r="K15" s="23">
        <v>0</v>
      </c>
      <c r="L15" s="23">
        <v>0</v>
      </c>
      <c r="M15" s="23">
        <v>0</v>
      </c>
      <c r="N15" s="23">
        <v>0</v>
      </c>
      <c r="O15" s="40">
        <f t="shared" si="1"/>
        <v>0</v>
      </c>
      <c r="P15" s="38" t="str">
        <f t="shared" si="2"/>
        <v>🔴 ROJO</v>
      </c>
      <c r="Q15" s="38" t="str">
        <f t="shared" si="3"/>
        <v>🔴 ROJO</v>
      </c>
      <c r="R15" s="41">
        <f t="shared" si="4"/>
        <v>0</v>
      </c>
      <c r="S15" s="38" t="str">
        <f t="shared" si="5"/>
        <v>🔴 CRÍTICO</v>
      </c>
      <c r="T15" s="39" t="str">
        <f t="shared" si="6"/>
        <v>Intervención presidencial urgente</v>
      </c>
    </row>
    <row r="16" spans="1:20" ht="69.75" customHeight="1" x14ac:dyDescent="0.25">
      <c r="A16" s="42" t="s">
        <v>75</v>
      </c>
      <c r="B16" s="26" t="s">
        <v>81</v>
      </c>
      <c r="C16" s="80" t="s">
        <v>82</v>
      </c>
      <c r="D16" s="43" t="s">
        <v>83</v>
      </c>
      <c r="E16" s="43" t="s">
        <v>84</v>
      </c>
      <c r="F16" s="43" t="s">
        <v>32</v>
      </c>
      <c r="G16" s="42">
        <v>6</v>
      </c>
      <c r="H16" s="43" t="s">
        <v>85</v>
      </c>
      <c r="I16" s="21">
        <v>0</v>
      </c>
      <c r="J16" s="44">
        <f t="shared" si="0"/>
        <v>0</v>
      </c>
      <c r="K16" s="23">
        <v>0</v>
      </c>
      <c r="L16" s="23">
        <v>0</v>
      </c>
      <c r="M16" s="23">
        <v>0</v>
      </c>
      <c r="N16" s="23">
        <v>0</v>
      </c>
      <c r="O16" s="44">
        <f t="shared" si="1"/>
        <v>0</v>
      </c>
      <c r="P16" s="42" t="str">
        <f t="shared" si="2"/>
        <v>🔴 ROJO</v>
      </c>
      <c r="Q16" s="42" t="str">
        <f t="shared" si="3"/>
        <v>🔴 ROJO</v>
      </c>
      <c r="R16" s="45">
        <f t="shared" si="4"/>
        <v>0</v>
      </c>
      <c r="S16" s="42" t="str">
        <f t="shared" si="5"/>
        <v>🔴 CRÍTICO</v>
      </c>
      <c r="T16" s="43" t="str">
        <f t="shared" si="6"/>
        <v>Intervención presidencial urgente</v>
      </c>
    </row>
    <row r="17" spans="1:20" ht="69.75" customHeight="1" x14ac:dyDescent="0.25">
      <c r="A17" s="38" t="s">
        <v>75</v>
      </c>
      <c r="B17" s="19" t="s">
        <v>86</v>
      </c>
      <c r="C17" s="79" t="s">
        <v>87</v>
      </c>
      <c r="D17" s="39" t="s">
        <v>88</v>
      </c>
      <c r="E17" s="39" t="s">
        <v>89</v>
      </c>
      <c r="F17" s="39" t="s">
        <v>32</v>
      </c>
      <c r="G17" s="38">
        <v>6</v>
      </c>
      <c r="H17" s="39" t="s">
        <v>90</v>
      </c>
      <c r="I17" s="21">
        <v>0</v>
      </c>
      <c r="J17" s="40">
        <f t="shared" si="0"/>
        <v>0</v>
      </c>
      <c r="K17" s="23">
        <v>0</v>
      </c>
      <c r="L17" s="23">
        <v>0</v>
      </c>
      <c r="M17" s="23">
        <v>0</v>
      </c>
      <c r="N17" s="23">
        <v>0</v>
      </c>
      <c r="O17" s="40">
        <f t="shared" si="1"/>
        <v>0</v>
      </c>
      <c r="P17" s="38" t="str">
        <f t="shared" si="2"/>
        <v>🔴 ROJO</v>
      </c>
      <c r="Q17" s="38" t="str">
        <f t="shared" si="3"/>
        <v>🔴 ROJO</v>
      </c>
      <c r="R17" s="41">
        <f t="shared" si="4"/>
        <v>0</v>
      </c>
      <c r="S17" s="38" t="str">
        <f t="shared" si="5"/>
        <v>🔴 CRÍTICO</v>
      </c>
      <c r="T17" s="39" t="str">
        <f t="shared" si="6"/>
        <v>Intervención presidencial urgente</v>
      </c>
    </row>
    <row r="18" spans="1:20" ht="69.75" customHeight="1" x14ac:dyDescent="0.25">
      <c r="A18" s="42" t="s">
        <v>75</v>
      </c>
      <c r="B18" s="26" t="s">
        <v>91</v>
      </c>
      <c r="C18" s="80" t="s">
        <v>92</v>
      </c>
      <c r="D18" s="43" t="s">
        <v>93</v>
      </c>
      <c r="E18" s="43" t="s">
        <v>94</v>
      </c>
      <c r="F18" s="43" t="s">
        <v>32</v>
      </c>
      <c r="G18" s="42">
        <v>6</v>
      </c>
      <c r="H18" s="43" t="s">
        <v>95</v>
      </c>
      <c r="I18" s="21">
        <v>0</v>
      </c>
      <c r="J18" s="44">
        <f t="shared" si="0"/>
        <v>0</v>
      </c>
      <c r="K18" s="23">
        <v>0</v>
      </c>
      <c r="L18" s="23">
        <v>0</v>
      </c>
      <c r="M18" s="23">
        <v>0</v>
      </c>
      <c r="N18" s="23">
        <v>0</v>
      </c>
      <c r="O18" s="44">
        <f t="shared" si="1"/>
        <v>0</v>
      </c>
      <c r="P18" s="42" t="str">
        <f t="shared" si="2"/>
        <v>🔴 ROJO</v>
      </c>
      <c r="Q18" s="42" t="str">
        <f t="shared" si="3"/>
        <v>🔴 ROJO</v>
      </c>
      <c r="R18" s="45">
        <f t="shared" si="4"/>
        <v>0</v>
      </c>
      <c r="S18" s="42" t="str">
        <f t="shared" si="5"/>
        <v>🔴 CRÍTICO</v>
      </c>
      <c r="T18" s="43" t="str">
        <f t="shared" si="6"/>
        <v>Intervención presidencial urgente</v>
      </c>
    </row>
    <row r="19" spans="1:20" ht="69.75" customHeight="1" x14ac:dyDescent="0.25">
      <c r="A19" s="38" t="s">
        <v>75</v>
      </c>
      <c r="B19" s="19" t="s">
        <v>96</v>
      </c>
      <c r="C19" s="79" t="s">
        <v>97</v>
      </c>
      <c r="D19" s="39" t="s">
        <v>98</v>
      </c>
      <c r="E19" s="39" t="s">
        <v>99</v>
      </c>
      <c r="F19" s="39" t="s">
        <v>32</v>
      </c>
      <c r="G19" s="38">
        <v>6</v>
      </c>
      <c r="H19" s="39" t="s">
        <v>100</v>
      </c>
      <c r="I19" s="21">
        <v>0</v>
      </c>
      <c r="J19" s="40">
        <f t="shared" si="0"/>
        <v>0</v>
      </c>
      <c r="K19" s="23">
        <v>0</v>
      </c>
      <c r="L19" s="23">
        <v>0</v>
      </c>
      <c r="M19" s="23">
        <v>0</v>
      </c>
      <c r="N19" s="23">
        <v>0</v>
      </c>
      <c r="O19" s="40">
        <f t="shared" si="1"/>
        <v>0</v>
      </c>
      <c r="P19" s="38" t="str">
        <f t="shared" si="2"/>
        <v>🔴 ROJO</v>
      </c>
      <c r="Q19" s="38" t="str">
        <f t="shared" si="3"/>
        <v>🔴 ROJO</v>
      </c>
      <c r="R19" s="41">
        <f t="shared" si="4"/>
        <v>0</v>
      </c>
      <c r="S19" s="38" t="str">
        <f t="shared" si="5"/>
        <v>🔴 CRÍTICO</v>
      </c>
      <c r="T19" s="39" t="str">
        <f t="shared" si="6"/>
        <v>Intervención presidencial urgente</v>
      </c>
    </row>
    <row r="20" spans="1:20" ht="69.75" customHeight="1" x14ac:dyDescent="0.25">
      <c r="A20" s="46" t="s">
        <v>101</v>
      </c>
      <c r="B20" s="26" t="s">
        <v>102</v>
      </c>
      <c r="C20" s="81" t="s">
        <v>103</v>
      </c>
      <c r="D20" s="48" t="s">
        <v>78</v>
      </c>
      <c r="E20" s="48" t="s">
        <v>104</v>
      </c>
      <c r="F20" s="48" t="s">
        <v>32</v>
      </c>
      <c r="G20" s="46">
        <v>6</v>
      </c>
      <c r="H20" s="48" t="s">
        <v>105</v>
      </c>
      <c r="I20" s="21">
        <v>0</v>
      </c>
      <c r="J20" s="49">
        <f t="shared" si="0"/>
        <v>0</v>
      </c>
      <c r="K20" s="23">
        <v>0</v>
      </c>
      <c r="L20" s="23">
        <v>0</v>
      </c>
      <c r="M20" s="23">
        <v>0</v>
      </c>
      <c r="N20" s="23">
        <v>0</v>
      </c>
      <c r="O20" s="49">
        <f t="shared" si="1"/>
        <v>0</v>
      </c>
      <c r="P20" s="46" t="str">
        <f t="shared" si="2"/>
        <v>🔴 ROJO</v>
      </c>
      <c r="Q20" s="46" t="str">
        <f t="shared" si="3"/>
        <v>🔴 ROJO</v>
      </c>
      <c r="R20" s="50">
        <f t="shared" si="4"/>
        <v>0</v>
      </c>
      <c r="S20" s="46" t="str">
        <f t="shared" si="5"/>
        <v>🔴 CRÍTICO</v>
      </c>
      <c r="T20" s="48" t="str">
        <f t="shared" si="6"/>
        <v>Intervención presidencial urgente</v>
      </c>
    </row>
    <row r="21" spans="1:20" ht="69.75" customHeight="1" x14ac:dyDescent="0.25">
      <c r="A21" s="51" t="s">
        <v>101</v>
      </c>
      <c r="B21" s="19" t="s">
        <v>106</v>
      </c>
      <c r="C21" s="82" t="s">
        <v>107</v>
      </c>
      <c r="D21" s="52" t="s">
        <v>78</v>
      </c>
      <c r="E21" s="52" t="s">
        <v>108</v>
      </c>
      <c r="F21" s="52" t="s">
        <v>32</v>
      </c>
      <c r="G21" s="51">
        <v>6</v>
      </c>
      <c r="H21" s="52" t="s">
        <v>109</v>
      </c>
      <c r="I21" s="21">
        <v>0</v>
      </c>
      <c r="J21" s="53">
        <f t="shared" si="0"/>
        <v>0</v>
      </c>
      <c r="K21" s="23">
        <v>0</v>
      </c>
      <c r="L21" s="23">
        <v>0</v>
      </c>
      <c r="M21" s="23">
        <v>0</v>
      </c>
      <c r="N21" s="23">
        <v>0</v>
      </c>
      <c r="O21" s="53">
        <f t="shared" si="1"/>
        <v>0</v>
      </c>
      <c r="P21" s="51" t="str">
        <f t="shared" si="2"/>
        <v>🔴 ROJO</v>
      </c>
      <c r="Q21" s="51" t="str">
        <f t="shared" si="3"/>
        <v>🔴 ROJO</v>
      </c>
      <c r="R21" s="54">
        <f t="shared" si="4"/>
        <v>0</v>
      </c>
      <c r="S21" s="51" t="str">
        <f t="shared" si="5"/>
        <v>🔴 CRÍTICO</v>
      </c>
      <c r="T21" s="52" t="str">
        <f t="shared" si="6"/>
        <v>Intervención presidencial urgente</v>
      </c>
    </row>
    <row r="22" spans="1:20" ht="69.75" customHeight="1" x14ac:dyDescent="0.25">
      <c r="A22" s="46" t="s">
        <v>101</v>
      </c>
      <c r="B22" s="26" t="s">
        <v>110</v>
      </c>
      <c r="C22" s="81" t="s">
        <v>111</v>
      </c>
      <c r="D22" s="48" t="s">
        <v>112</v>
      </c>
      <c r="E22" s="48" t="s">
        <v>113</v>
      </c>
      <c r="F22" s="48" t="s">
        <v>32</v>
      </c>
      <c r="G22" s="46">
        <v>6</v>
      </c>
      <c r="H22" s="48" t="s">
        <v>114</v>
      </c>
      <c r="I22" s="21">
        <v>0</v>
      </c>
      <c r="J22" s="49">
        <f t="shared" si="0"/>
        <v>0</v>
      </c>
      <c r="K22" s="23">
        <v>0</v>
      </c>
      <c r="L22" s="23">
        <v>0</v>
      </c>
      <c r="M22" s="23">
        <v>0</v>
      </c>
      <c r="N22" s="23">
        <v>0</v>
      </c>
      <c r="O22" s="49">
        <f t="shared" si="1"/>
        <v>0</v>
      </c>
      <c r="P22" s="46" t="str">
        <f t="shared" si="2"/>
        <v>🔴 ROJO</v>
      </c>
      <c r="Q22" s="46" t="str">
        <f t="shared" si="3"/>
        <v>🔴 ROJO</v>
      </c>
      <c r="R22" s="50">
        <f t="shared" si="4"/>
        <v>0</v>
      </c>
      <c r="S22" s="46" t="str">
        <f t="shared" si="5"/>
        <v>🔴 CRÍTICO</v>
      </c>
      <c r="T22" s="48" t="str">
        <f t="shared" si="6"/>
        <v>Intervención presidencial urgente</v>
      </c>
    </row>
    <row r="23" spans="1:20" ht="69.75" customHeight="1" x14ac:dyDescent="0.25">
      <c r="A23" s="51" t="s">
        <v>101</v>
      </c>
      <c r="B23" s="19" t="s">
        <v>115</v>
      </c>
      <c r="C23" s="81" t="s">
        <v>164</v>
      </c>
      <c r="D23" s="52" t="s">
        <v>78</v>
      </c>
      <c r="E23" s="52" t="s">
        <v>116</v>
      </c>
      <c r="F23" s="52" t="s">
        <v>32</v>
      </c>
      <c r="G23" s="51">
        <v>6</v>
      </c>
      <c r="H23" s="52" t="s">
        <v>117</v>
      </c>
      <c r="I23" s="21">
        <v>0</v>
      </c>
      <c r="J23" s="53">
        <f t="shared" si="0"/>
        <v>0</v>
      </c>
      <c r="K23" s="23">
        <v>0</v>
      </c>
      <c r="L23" s="23">
        <v>0</v>
      </c>
      <c r="M23" s="23">
        <v>0</v>
      </c>
      <c r="N23" s="23">
        <v>0</v>
      </c>
      <c r="O23" s="53">
        <f t="shared" si="1"/>
        <v>0</v>
      </c>
      <c r="P23" s="51" t="str">
        <f t="shared" si="2"/>
        <v>🔴 ROJO</v>
      </c>
      <c r="Q23" s="51" t="str">
        <f t="shared" si="3"/>
        <v>🔴 ROJO</v>
      </c>
      <c r="R23" s="54">
        <f t="shared" si="4"/>
        <v>0</v>
      </c>
      <c r="S23" s="51" t="str">
        <f t="shared" si="5"/>
        <v>🔴 CRÍTICO</v>
      </c>
      <c r="T23" s="52" t="str">
        <f t="shared" si="6"/>
        <v>Intervención presidencial urgente</v>
      </c>
    </row>
    <row r="24" spans="1:20" ht="69.75" customHeight="1" x14ac:dyDescent="0.25">
      <c r="A24" s="51" t="s">
        <v>101</v>
      </c>
      <c r="B24" s="47" t="s">
        <v>118</v>
      </c>
      <c r="C24" s="82" t="s">
        <v>165</v>
      </c>
      <c r="D24" s="52" t="s">
        <v>112</v>
      </c>
      <c r="E24" s="52"/>
      <c r="F24" s="52"/>
      <c r="G24" s="51"/>
      <c r="H24" s="52"/>
      <c r="I24" s="21"/>
      <c r="J24" s="53"/>
      <c r="K24" s="23"/>
      <c r="L24" s="23"/>
      <c r="M24" s="23"/>
      <c r="N24" s="23"/>
      <c r="O24" s="53"/>
      <c r="P24" s="51"/>
      <c r="Q24" s="51"/>
      <c r="R24" s="54"/>
      <c r="S24" s="51"/>
      <c r="T24" s="52"/>
    </row>
    <row r="25" spans="1:20" ht="69.75" customHeight="1" x14ac:dyDescent="0.25">
      <c r="A25" s="46" t="s">
        <v>101</v>
      </c>
      <c r="B25" s="56" t="s">
        <v>123</v>
      </c>
      <c r="C25" s="81" t="s">
        <v>119</v>
      </c>
      <c r="D25" s="48" t="s">
        <v>78</v>
      </c>
      <c r="E25" s="48" t="s">
        <v>120</v>
      </c>
      <c r="F25" s="48" t="s">
        <v>32</v>
      </c>
      <c r="G25" s="46">
        <v>6</v>
      </c>
      <c r="H25" s="48" t="s">
        <v>121</v>
      </c>
      <c r="I25" s="21">
        <v>0</v>
      </c>
      <c r="J25" s="49">
        <f t="shared" si="0"/>
        <v>0</v>
      </c>
      <c r="K25" s="23">
        <v>0</v>
      </c>
      <c r="L25" s="23">
        <v>0</v>
      </c>
      <c r="M25" s="23">
        <v>0</v>
      </c>
      <c r="N25" s="23">
        <v>0</v>
      </c>
      <c r="O25" s="49">
        <f t="shared" si="1"/>
        <v>0</v>
      </c>
      <c r="P25" s="46" t="str">
        <f t="shared" si="2"/>
        <v>🔴 ROJO</v>
      </c>
      <c r="Q25" s="46" t="str">
        <f t="shared" si="3"/>
        <v>🔴 ROJO</v>
      </c>
      <c r="R25" s="50">
        <f t="shared" si="4"/>
        <v>0</v>
      </c>
      <c r="S25" s="46" t="str">
        <f t="shared" si="5"/>
        <v>🔴 CRÍTICO</v>
      </c>
      <c r="T25" s="48" t="str">
        <f t="shared" si="6"/>
        <v>Intervención presidencial urgente</v>
      </c>
    </row>
    <row r="26" spans="1:20" ht="69.75" customHeight="1" x14ac:dyDescent="0.25">
      <c r="A26" s="55" t="s">
        <v>122</v>
      </c>
      <c r="B26" s="61" t="s">
        <v>127</v>
      </c>
      <c r="C26" s="83" t="s">
        <v>124</v>
      </c>
      <c r="D26" s="57" t="s">
        <v>83</v>
      </c>
      <c r="E26" s="57" t="s">
        <v>125</v>
      </c>
      <c r="F26" s="57" t="s">
        <v>32</v>
      </c>
      <c r="G26" s="55">
        <v>6</v>
      </c>
      <c r="H26" s="57" t="s">
        <v>126</v>
      </c>
      <c r="I26" s="21">
        <v>0</v>
      </c>
      <c r="J26" s="58">
        <f t="shared" si="0"/>
        <v>0</v>
      </c>
      <c r="K26" s="23">
        <v>0</v>
      </c>
      <c r="L26" s="23">
        <v>0</v>
      </c>
      <c r="M26" s="23">
        <v>0</v>
      </c>
      <c r="N26" s="23">
        <v>0</v>
      </c>
      <c r="O26" s="58">
        <f t="shared" si="1"/>
        <v>0</v>
      </c>
      <c r="P26" s="55" t="str">
        <f t="shared" si="2"/>
        <v>🔴 ROJO</v>
      </c>
      <c r="Q26" s="55" t="str">
        <f t="shared" si="3"/>
        <v>🔴 ROJO</v>
      </c>
      <c r="R26" s="59">
        <f t="shared" si="4"/>
        <v>0</v>
      </c>
      <c r="S26" s="55" t="str">
        <f t="shared" si="5"/>
        <v>🔴 CRÍTICO</v>
      </c>
      <c r="T26" s="57" t="str">
        <f t="shared" si="6"/>
        <v>Intervención presidencial urgente</v>
      </c>
    </row>
    <row r="27" spans="1:20" ht="69.75" customHeight="1" x14ac:dyDescent="0.25">
      <c r="A27" s="60" t="s">
        <v>122</v>
      </c>
      <c r="B27" s="56" t="s">
        <v>131</v>
      </c>
      <c r="C27" s="81" t="s">
        <v>128</v>
      </c>
      <c r="D27" s="62" t="s">
        <v>83</v>
      </c>
      <c r="E27" s="62" t="s">
        <v>129</v>
      </c>
      <c r="F27" s="62" t="s">
        <v>32</v>
      </c>
      <c r="G27" s="60">
        <v>6</v>
      </c>
      <c r="H27" s="62" t="s">
        <v>130</v>
      </c>
      <c r="I27" s="21">
        <v>0</v>
      </c>
      <c r="J27" s="63">
        <f t="shared" si="0"/>
        <v>0</v>
      </c>
      <c r="K27" s="23">
        <v>0</v>
      </c>
      <c r="L27" s="23">
        <v>0</v>
      </c>
      <c r="M27" s="23">
        <v>0</v>
      </c>
      <c r="N27" s="23">
        <v>0</v>
      </c>
      <c r="O27" s="63">
        <f t="shared" si="1"/>
        <v>0</v>
      </c>
      <c r="P27" s="60" t="str">
        <f t="shared" si="2"/>
        <v>🔴 ROJO</v>
      </c>
      <c r="Q27" s="60" t="str">
        <f t="shared" si="3"/>
        <v>🔴 ROJO</v>
      </c>
      <c r="R27" s="64">
        <f t="shared" si="4"/>
        <v>0</v>
      </c>
      <c r="S27" s="60" t="str">
        <f t="shared" si="5"/>
        <v>🔴 CRÍTICO</v>
      </c>
      <c r="T27" s="62" t="str">
        <f t="shared" si="6"/>
        <v>Intervención presidencial urgente</v>
      </c>
    </row>
    <row r="28" spans="1:20" ht="69.75" customHeight="1" x14ac:dyDescent="0.25">
      <c r="A28" s="60" t="s">
        <v>122</v>
      </c>
      <c r="B28" s="61" t="s">
        <v>135</v>
      </c>
      <c r="C28" s="81" t="s">
        <v>166</v>
      </c>
      <c r="D28" s="62" t="s">
        <v>88</v>
      </c>
      <c r="E28" s="62"/>
      <c r="F28" s="62"/>
      <c r="G28" s="60"/>
      <c r="H28" s="62"/>
      <c r="I28" s="21"/>
      <c r="J28" s="63"/>
      <c r="K28" s="23"/>
      <c r="L28" s="23"/>
      <c r="M28" s="23"/>
      <c r="N28" s="23"/>
      <c r="O28" s="63"/>
      <c r="P28" s="60"/>
      <c r="Q28" s="60"/>
      <c r="R28" s="64"/>
      <c r="S28" s="60"/>
      <c r="T28" s="62"/>
    </row>
    <row r="29" spans="1:20" ht="69.75" customHeight="1" x14ac:dyDescent="0.25">
      <c r="A29" s="55" t="s">
        <v>122</v>
      </c>
      <c r="B29" s="66" t="s">
        <v>140</v>
      </c>
      <c r="C29" s="83" t="s">
        <v>132</v>
      </c>
      <c r="D29" s="57" t="s">
        <v>88</v>
      </c>
      <c r="E29" s="57" t="s">
        <v>133</v>
      </c>
      <c r="F29" s="57" t="s">
        <v>32</v>
      </c>
      <c r="G29" s="55">
        <v>6</v>
      </c>
      <c r="H29" s="57" t="s">
        <v>134</v>
      </c>
      <c r="I29" s="21">
        <v>0</v>
      </c>
      <c r="J29" s="58">
        <f t="shared" si="0"/>
        <v>0</v>
      </c>
      <c r="K29" s="23">
        <v>0</v>
      </c>
      <c r="L29" s="23">
        <v>0</v>
      </c>
      <c r="M29" s="23">
        <v>0</v>
      </c>
      <c r="N29" s="23">
        <v>0</v>
      </c>
      <c r="O29" s="58">
        <f t="shared" si="1"/>
        <v>0</v>
      </c>
      <c r="P29" s="55" t="str">
        <f t="shared" si="2"/>
        <v>🔴 ROJO</v>
      </c>
      <c r="Q29" s="55" t="str">
        <f t="shared" si="3"/>
        <v>🔴 ROJO</v>
      </c>
      <c r="R29" s="59">
        <f t="shared" si="4"/>
        <v>0</v>
      </c>
      <c r="S29" s="55" t="str">
        <f t="shared" si="5"/>
        <v>🔴 CRÍTICO</v>
      </c>
      <c r="T29" s="57" t="str">
        <f t="shared" si="6"/>
        <v>Intervención presidencial urgente</v>
      </c>
    </row>
    <row r="30" spans="1:20" ht="69.75" customHeight="1" x14ac:dyDescent="0.25">
      <c r="A30" s="60" t="s">
        <v>122</v>
      </c>
      <c r="B30" s="71" t="s">
        <v>145</v>
      </c>
      <c r="C30" s="81" t="s">
        <v>136</v>
      </c>
      <c r="D30" s="62" t="s">
        <v>59</v>
      </c>
      <c r="E30" s="62" t="s">
        <v>137</v>
      </c>
      <c r="F30" s="62" t="s">
        <v>32</v>
      </c>
      <c r="G30" s="60">
        <v>6</v>
      </c>
      <c r="H30" s="62" t="s">
        <v>138</v>
      </c>
      <c r="I30" s="21">
        <v>0</v>
      </c>
      <c r="J30" s="63">
        <f t="shared" si="0"/>
        <v>0</v>
      </c>
      <c r="K30" s="23">
        <v>0</v>
      </c>
      <c r="L30" s="23">
        <v>0</v>
      </c>
      <c r="M30" s="23">
        <v>0</v>
      </c>
      <c r="N30" s="23">
        <v>0</v>
      </c>
      <c r="O30" s="63">
        <f t="shared" si="1"/>
        <v>0</v>
      </c>
      <c r="P30" s="60" t="str">
        <f t="shared" si="2"/>
        <v>🔴 ROJO</v>
      </c>
      <c r="Q30" s="60" t="str">
        <f t="shared" si="3"/>
        <v>🔴 ROJO</v>
      </c>
      <c r="R30" s="64">
        <f t="shared" si="4"/>
        <v>0</v>
      </c>
      <c r="S30" s="60" t="str">
        <f t="shared" si="5"/>
        <v>🔴 CRÍTICO</v>
      </c>
      <c r="T30" s="62" t="str">
        <f t="shared" si="6"/>
        <v>Intervención presidencial urgente</v>
      </c>
    </row>
    <row r="31" spans="1:20" ht="69.75" customHeight="1" x14ac:dyDescent="0.25">
      <c r="A31" s="60" t="s">
        <v>122</v>
      </c>
      <c r="B31" s="66" t="s">
        <v>149</v>
      </c>
      <c r="C31" s="81" t="s">
        <v>167</v>
      </c>
      <c r="D31" s="62" t="s">
        <v>78</v>
      </c>
      <c r="E31" s="62"/>
      <c r="F31" s="62"/>
      <c r="G31" s="60"/>
      <c r="H31" s="62"/>
      <c r="I31" s="21"/>
      <c r="J31" s="63"/>
      <c r="K31" s="23"/>
      <c r="L31" s="23"/>
      <c r="M31" s="23"/>
      <c r="N31" s="23"/>
      <c r="O31" s="63"/>
      <c r="P31" s="60"/>
      <c r="Q31" s="60"/>
      <c r="R31" s="64"/>
      <c r="S31" s="60"/>
      <c r="T31" s="62"/>
    </row>
    <row r="32" spans="1:20" ht="69.75" customHeight="1" x14ac:dyDescent="0.25">
      <c r="A32" s="65" t="s">
        <v>139</v>
      </c>
      <c r="B32" s="71" t="s">
        <v>153</v>
      </c>
      <c r="C32" s="84" t="s">
        <v>141</v>
      </c>
      <c r="D32" s="67" t="s">
        <v>142</v>
      </c>
      <c r="E32" s="67" t="s">
        <v>143</v>
      </c>
      <c r="F32" s="67" t="s">
        <v>32</v>
      </c>
      <c r="G32" s="65">
        <v>6</v>
      </c>
      <c r="H32" s="67" t="s">
        <v>144</v>
      </c>
      <c r="I32" s="21">
        <v>0</v>
      </c>
      <c r="J32" s="68">
        <f t="shared" si="0"/>
        <v>0</v>
      </c>
      <c r="K32" s="23">
        <v>0</v>
      </c>
      <c r="L32" s="23">
        <v>0</v>
      </c>
      <c r="M32" s="23">
        <v>0</v>
      </c>
      <c r="N32" s="23">
        <v>0</v>
      </c>
      <c r="O32" s="68">
        <f t="shared" si="1"/>
        <v>0</v>
      </c>
      <c r="P32" s="65" t="str">
        <f t="shared" si="2"/>
        <v>🔴 ROJO</v>
      </c>
      <c r="Q32" s="65" t="str">
        <f t="shared" si="3"/>
        <v>🔴 ROJO</v>
      </c>
      <c r="R32" s="69">
        <f t="shared" si="4"/>
        <v>0</v>
      </c>
      <c r="S32" s="65" t="str">
        <f t="shared" si="5"/>
        <v>🔴 CRÍTICO</v>
      </c>
      <c r="T32" s="67" t="str">
        <f t="shared" si="6"/>
        <v>Intervención presidencial urgente</v>
      </c>
    </row>
    <row r="33" spans="1:20" ht="69.75" customHeight="1" x14ac:dyDescent="0.25">
      <c r="A33" s="70" t="s">
        <v>139</v>
      </c>
      <c r="B33" s="66" t="s">
        <v>157</v>
      </c>
      <c r="C33" s="85" t="s">
        <v>146</v>
      </c>
      <c r="D33" s="72" t="s">
        <v>30</v>
      </c>
      <c r="E33" s="72" t="s">
        <v>147</v>
      </c>
      <c r="F33" s="72" t="s">
        <v>32</v>
      </c>
      <c r="G33" s="70">
        <v>6</v>
      </c>
      <c r="H33" s="72" t="s">
        <v>148</v>
      </c>
      <c r="I33" s="21">
        <v>0</v>
      </c>
      <c r="J33" s="73">
        <f t="shared" si="0"/>
        <v>0</v>
      </c>
      <c r="K33" s="23">
        <v>0</v>
      </c>
      <c r="L33" s="23">
        <v>0</v>
      </c>
      <c r="M33" s="23">
        <v>0</v>
      </c>
      <c r="N33" s="23">
        <v>0</v>
      </c>
      <c r="O33" s="73">
        <f t="shared" si="1"/>
        <v>0</v>
      </c>
      <c r="P33" s="70" t="str">
        <f t="shared" si="2"/>
        <v>🔴 ROJO</v>
      </c>
      <c r="Q33" s="70" t="str">
        <f t="shared" si="3"/>
        <v>🔴 ROJO</v>
      </c>
      <c r="R33" s="74">
        <f t="shared" si="4"/>
        <v>0</v>
      </c>
      <c r="S33" s="70" t="str">
        <f t="shared" si="5"/>
        <v>🔴 CRÍTICO</v>
      </c>
      <c r="T33" s="72" t="str">
        <f t="shared" si="6"/>
        <v>Intervención presidencial urgente</v>
      </c>
    </row>
    <row r="34" spans="1:20" ht="67.5" x14ac:dyDescent="0.25">
      <c r="A34" s="65" t="s">
        <v>139</v>
      </c>
      <c r="B34" s="86" t="s">
        <v>168</v>
      </c>
      <c r="C34" s="84" t="s">
        <v>150</v>
      </c>
      <c r="D34" s="67" t="s">
        <v>161</v>
      </c>
      <c r="E34" s="67" t="s">
        <v>151</v>
      </c>
      <c r="F34" s="67" t="s">
        <v>32</v>
      </c>
      <c r="G34" s="65">
        <v>6</v>
      </c>
      <c r="H34" s="67" t="s">
        <v>152</v>
      </c>
      <c r="I34" s="21">
        <v>0</v>
      </c>
      <c r="J34" s="68">
        <f t="shared" si="0"/>
        <v>0</v>
      </c>
      <c r="K34" s="23">
        <v>0</v>
      </c>
      <c r="L34" s="23">
        <v>0</v>
      </c>
      <c r="M34" s="23">
        <v>0</v>
      </c>
      <c r="N34" s="23">
        <v>0</v>
      </c>
      <c r="O34" s="68">
        <f t="shared" si="1"/>
        <v>0</v>
      </c>
      <c r="P34" s="65" t="str">
        <f t="shared" si="2"/>
        <v>🔴 ROJO</v>
      </c>
      <c r="Q34" s="65" t="str">
        <f t="shared" si="3"/>
        <v>🔴 ROJO</v>
      </c>
      <c r="R34" s="69">
        <f t="shared" si="4"/>
        <v>0</v>
      </c>
      <c r="S34" s="65" t="str">
        <f t="shared" si="5"/>
        <v>🔴 CRÍTICO</v>
      </c>
      <c r="T34" s="67" t="str">
        <f t="shared" si="6"/>
        <v>Intervención presidencial urgente</v>
      </c>
    </row>
    <row r="35" spans="1:20" ht="67.5" x14ac:dyDescent="0.25">
      <c r="A35" s="70" t="s">
        <v>139</v>
      </c>
      <c r="B35" s="87" t="s">
        <v>169</v>
      </c>
      <c r="C35" s="85" t="s">
        <v>170</v>
      </c>
      <c r="D35" s="72" t="s">
        <v>154</v>
      </c>
      <c r="E35" s="72" t="s">
        <v>155</v>
      </c>
      <c r="F35" s="72" t="s">
        <v>32</v>
      </c>
      <c r="G35" s="70">
        <v>6</v>
      </c>
      <c r="H35" s="72" t="s">
        <v>156</v>
      </c>
      <c r="I35" s="21">
        <v>0</v>
      </c>
      <c r="J35" s="73">
        <f t="shared" si="0"/>
        <v>0</v>
      </c>
      <c r="K35" s="23">
        <v>0</v>
      </c>
      <c r="L35" s="23">
        <v>0</v>
      </c>
      <c r="M35" s="23">
        <v>0</v>
      </c>
      <c r="N35" s="23">
        <v>0</v>
      </c>
      <c r="O35" s="73">
        <f t="shared" si="1"/>
        <v>0</v>
      </c>
      <c r="P35" s="70" t="str">
        <f t="shared" si="2"/>
        <v>🔴 ROJO</v>
      </c>
      <c r="Q35" s="70" t="str">
        <f t="shared" si="3"/>
        <v>🔴 ROJO</v>
      </c>
      <c r="R35" s="74">
        <f t="shared" si="4"/>
        <v>0</v>
      </c>
      <c r="S35" s="70" t="str">
        <f t="shared" si="5"/>
        <v>🔴 CRÍTICO</v>
      </c>
      <c r="T35" s="72" t="str">
        <f t="shared" si="6"/>
        <v>Intervención presidencial urgente</v>
      </c>
    </row>
    <row r="36" spans="1:20" ht="67.5" x14ac:dyDescent="0.25">
      <c r="A36" s="65" t="s">
        <v>139</v>
      </c>
      <c r="B36" s="86" t="s">
        <v>171</v>
      </c>
      <c r="C36" s="84" t="s">
        <v>172</v>
      </c>
      <c r="D36" s="67" t="s">
        <v>162</v>
      </c>
      <c r="E36" s="67" t="s">
        <v>158</v>
      </c>
      <c r="F36" s="67" t="s">
        <v>32</v>
      </c>
      <c r="G36" s="65">
        <v>6</v>
      </c>
      <c r="H36" s="67" t="s">
        <v>159</v>
      </c>
      <c r="I36" s="21">
        <v>0</v>
      </c>
      <c r="J36" s="68">
        <f t="shared" si="0"/>
        <v>0</v>
      </c>
      <c r="K36" s="23">
        <v>0</v>
      </c>
      <c r="L36" s="23">
        <v>0</v>
      </c>
      <c r="M36" s="23">
        <v>0</v>
      </c>
      <c r="N36" s="23">
        <v>0</v>
      </c>
      <c r="O36" s="68">
        <f t="shared" si="1"/>
        <v>0</v>
      </c>
      <c r="P36" s="65" t="str">
        <f t="shared" si="2"/>
        <v>🔴 ROJO</v>
      </c>
      <c r="Q36" s="65" t="str">
        <f t="shared" si="3"/>
        <v>🔴 ROJO</v>
      </c>
      <c r="R36" s="69">
        <f t="shared" si="4"/>
        <v>0</v>
      </c>
      <c r="S36" s="65" t="str">
        <f t="shared" si="5"/>
        <v>🔴 CRÍTICO</v>
      </c>
      <c r="T36" s="67" t="str">
        <f t="shared" si="6"/>
        <v>Intervención presidencial urgente</v>
      </c>
    </row>
  </sheetData>
  <autoFilter ref="A1:T33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 de Proceso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Antonio Chacon Bustillo</cp:lastModifiedBy>
  <cp:revision>0</cp:revision>
  <dcterms:created xsi:type="dcterms:W3CDTF">2026-02-23T16:51:28Z</dcterms:created>
  <dcterms:modified xsi:type="dcterms:W3CDTF">2026-02-25T21:21:01Z</dcterms:modified>
  <dc:language>en-US</dc:language>
</cp:coreProperties>
</file>